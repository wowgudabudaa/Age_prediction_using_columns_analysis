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hl538_duke_edu/Documents/桌面/columns_analyse/Brain_column_analyse/NEW COLUMNS GNC/MD+thickness/"/>
    </mc:Choice>
  </mc:AlternateContent>
  <xr:revisionPtr revIDLastSave="0" documentId="8_{19D2D556-724F-4994-88CF-2B0AE7851496}" xr6:coauthVersionLast="47" xr6:coauthVersionMax="47" xr10:uidLastSave="{00000000-0000-0000-0000-000000000000}"/>
  <bookViews>
    <workbookView xWindow="19660" yWindow="640" windowWidth="28800" windowHeight="15410" activeTab="1" xr2:uid="{4651A67A-DC2F-4290-8049-90B44AEAAEDF}"/>
  </bookViews>
  <sheets>
    <sheet name="column_model_predictions_all_su" sheetId="1" r:id="rId1"/>
    <sheet name="Sheet1" sheetId="2" r:id="rId2"/>
  </sheets>
  <definedNames>
    <definedName name="_xlnm._FilterDatabase" localSheetId="1" hidden="1">Sheet1!$B$1:$B$72</definedName>
  </definedNames>
  <calcPr calcId="0"/>
</workbook>
</file>

<file path=xl/calcChain.xml><?xml version="1.0" encoding="utf-8"?>
<calcChain xmlns="http://schemas.openxmlformats.org/spreadsheetml/2006/main">
  <c r="A75" i="2" l="1" a="1"/>
  <c r="A75" i="2" s="1"/>
  <c r="A74" i="2" a="1"/>
  <c r="A74" i="2" s="1"/>
  <c r="H77" i="1"/>
  <c r="H76" i="1"/>
  <c r="I74" i="1"/>
  <c r="H75" i="1"/>
  <c r="H74" i="1"/>
  <c r="H73" i="1"/>
  <c r="B75" i="1"/>
  <c r="I73" i="1"/>
  <c r="K73" i="1"/>
  <c r="B74" i="1"/>
  <c r="B73" i="1"/>
  <c r="J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<sst xmlns="http://schemas.openxmlformats.org/spreadsheetml/2006/main" count="809" uniqueCount="390">
  <si>
    <t>subject_id</t>
  </si>
  <si>
    <t>age_x</t>
  </si>
  <si>
    <t>predicted_age</t>
  </si>
  <si>
    <t>BAG</t>
  </si>
  <si>
    <t>cBAG</t>
  </si>
  <si>
    <t>Subject</t>
  </si>
  <si>
    <t>MRI_Exam</t>
  </si>
  <si>
    <t>age_y</t>
  </si>
  <si>
    <t>genotype</t>
  </si>
  <si>
    <t>sex</t>
  </si>
  <si>
    <t>Risk</t>
  </si>
  <si>
    <t>risk_for_ad</t>
  </si>
  <si>
    <t>ethnicity</t>
  </si>
  <si>
    <t>Family</t>
  </si>
  <si>
    <t>Fam_Num</t>
  </si>
  <si>
    <t>Systolic</t>
  </si>
  <si>
    <t>Diastolic</t>
  </si>
  <si>
    <t>Pulse</t>
  </si>
  <si>
    <t>Height</t>
  </si>
  <si>
    <t>Weight</t>
  </si>
  <si>
    <t>BMI</t>
  </si>
  <si>
    <t>MOCA_TOTAL</t>
  </si>
  <si>
    <t>Im_BensonTotal</t>
  </si>
  <si>
    <t>Delay_BensonTotal</t>
  </si>
  <si>
    <t>Composite_Pleasantness</t>
  </si>
  <si>
    <t>Composite_Intensity</t>
  </si>
  <si>
    <t>Composite_Familiarity</t>
  </si>
  <si>
    <t>Composite_Nameability</t>
  </si>
  <si>
    <t>PrecentCorrectRecall_outof3</t>
  </si>
  <si>
    <t>Recognized_outof6</t>
  </si>
  <si>
    <t>AVLT_Trial6</t>
  </si>
  <si>
    <t>AVLT_Trial7</t>
  </si>
  <si>
    <t>RAVLT_IMMEDIATE</t>
  </si>
  <si>
    <t>RAVLT_LEARNING</t>
  </si>
  <si>
    <t>RAVLT_FORGETTING</t>
  </si>
  <si>
    <t>fwd_total_correct</t>
  </si>
  <si>
    <t>fwd_max_length</t>
  </si>
  <si>
    <t>bckwds_total_correct</t>
  </si>
  <si>
    <t>bckwds_max_length</t>
  </si>
  <si>
    <t>trailA</t>
  </si>
  <si>
    <t>trailB</t>
  </si>
  <si>
    <t>trailDiff</t>
  </si>
  <si>
    <t>DigitSymbol</t>
  </si>
  <si>
    <t>fluency_4x</t>
  </si>
  <si>
    <t>letter_fluency</t>
  </si>
  <si>
    <t>ufov1</t>
  </si>
  <si>
    <t>ufov2</t>
  </si>
  <si>
    <t>ufov3</t>
  </si>
  <si>
    <t>Story_Immediate_verbatim</t>
  </si>
  <si>
    <t>Story_Immediate_paraphrase</t>
  </si>
  <si>
    <t>Delayed_verbatim</t>
  </si>
  <si>
    <t>Delayed_paraphrase</t>
  </si>
  <si>
    <t>MRI_Exam_fixed</t>
  </si>
  <si>
    <t>02110</t>
  </si>
  <si>
    <t>46.00593185424805</t>
  </si>
  <si>
    <t>6.005931854248047</t>
  </si>
  <si>
    <t>2.9929728452885422</t>
  </si>
  <si>
    <t>AD_DECODE1</t>
  </si>
  <si>
    <t>APOE33</t>
  </si>
  <si>
    <t>M</t>
  </si>
  <si>
    <t>NoRisk</t>
  </si>
  <si>
    <t>caucasian</t>
  </si>
  <si>
    <t>Family10</t>
  </si>
  <si>
    <t>02363</t>
  </si>
  <si>
    <t>78.38996887207031</t>
  </si>
  <si>
    <t>6.3899688720703125</t>
  </si>
  <si>
    <t>5.960981299184599</t>
  </si>
  <si>
    <t>AD_DECODE11</t>
  </si>
  <si>
    <t>APOE34</t>
  </si>
  <si>
    <t>F</t>
  </si>
  <si>
    <t>aa</t>
  </si>
  <si>
    <t>02373</t>
  </si>
  <si>
    <t>44.423866271972656</t>
  </si>
  <si>
    <t>3.4238662719726562</t>
  </si>
  <si>
    <t>0.49165637039045773</t>
  </si>
  <si>
    <t>AD_DECODE13</t>
  </si>
  <si>
    <t>Familial</t>
  </si>
  <si>
    <t>02386</t>
  </si>
  <si>
    <t>36.36237335205078</t>
  </si>
  <si>
    <t>AD_DECODE14</t>
  </si>
  <si>
    <t>02390</t>
  </si>
  <si>
    <t>43.97583770751953</t>
  </si>
  <si>
    <t>AD_DECODE15</t>
  </si>
  <si>
    <t>APOE44</t>
  </si>
  <si>
    <t>02231</t>
  </si>
  <si>
    <t>39.30351257324219</t>
  </si>
  <si>
    <t>18.303512573242188</t>
  </si>
  <si>
    <t>13.75632052411387</t>
  </si>
  <si>
    <t>AD_DECODE16</t>
  </si>
  <si>
    <t>mixed/latino</t>
  </si>
  <si>
    <t>02402</t>
  </si>
  <si>
    <t>46.14378356933594</t>
  </si>
  <si>
    <t>AD_DECODE17</t>
  </si>
  <si>
    <t>APOE23</t>
  </si>
  <si>
    <t>02410</t>
  </si>
  <si>
    <t>64.85462188720703</t>
  </si>
  <si>
    <t>0.8546218872070312</t>
  </si>
  <si>
    <t>AD_DECODE18</t>
  </si>
  <si>
    <t>02421</t>
  </si>
  <si>
    <t>50.04087829589844</t>
  </si>
  <si>
    <t>AD_DECODE19</t>
  </si>
  <si>
    <t>01912</t>
  </si>
  <si>
    <t>46.20463562011719</t>
  </si>
  <si>
    <t>10.204635620117188</t>
  </si>
  <si>
    <t>6.868680181648459</t>
  </si>
  <si>
    <t>AD_DECODE2</t>
  </si>
  <si>
    <t>02424</t>
  </si>
  <si>
    <t>49.873023986816406</t>
  </si>
  <si>
    <t>1.8730239868164062</t>
  </si>
  <si>
    <t>AD_DECODE20</t>
  </si>
  <si>
    <t>02446</t>
  </si>
  <si>
    <t>AD_DECODE21</t>
  </si>
  <si>
    <t>Family 4</t>
  </si>
  <si>
    <t>02451</t>
  </si>
  <si>
    <t>46.01227951049805</t>
  </si>
  <si>
    <t>AD_DECODE22</t>
  </si>
  <si>
    <t>02485</t>
  </si>
  <si>
    <t>56.83623123168945</t>
  </si>
  <si>
    <t>5.836231231689453</t>
  </si>
  <si>
    <t>3.711512403880314</t>
  </si>
  <si>
    <t>AD_DECODE24</t>
  </si>
  <si>
    <t>latino</t>
  </si>
  <si>
    <t>02473</t>
  </si>
  <si>
    <t>55.22076416015625</t>
  </si>
  <si>
    <t>1.176794439724417</t>
  </si>
  <si>
    <t>AD_DECODE25</t>
  </si>
  <si>
    <t>02491</t>
  </si>
  <si>
    <t>42.240875244140625</t>
  </si>
  <si>
    <t>4.240875244140625</t>
  </si>
  <si>
    <t>1.0664180204265086</t>
  </si>
  <si>
    <t>AD_DECODE26</t>
  </si>
  <si>
    <t>02506</t>
  </si>
  <si>
    <t>41.88773727416992</t>
  </si>
  <si>
    <t>3.887737274169922</t>
  </si>
  <si>
    <t>0.7132800504558054</t>
  </si>
  <si>
    <t>AD_DECODE27</t>
  </si>
  <si>
    <t>02524</t>
  </si>
  <si>
    <t>57.97368621826172</t>
  </si>
  <si>
    <t>AD_DECODE28</t>
  </si>
  <si>
    <t>02535</t>
  </si>
  <si>
    <t>79.92420196533203</t>
  </si>
  <si>
    <t>3.9242019653320312</t>
  </si>
  <si>
    <t>3.8182108219555415</t>
  </si>
  <si>
    <t>AD_DECODE29A</t>
  </si>
  <si>
    <t>02654</t>
  </si>
  <si>
    <t>50.05813217163086</t>
  </si>
  <si>
    <t>AD_DECODE29B</t>
  </si>
  <si>
    <t>Family 1</t>
  </si>
  <si>
    <t>02666</t>
  </si>
  <si>
    <t>7.490367889404297</t>
  </si>
  <si>
    <t>5.284899954217852</t>
  </si>
  <si>
    <t>AD_DECODE30</t>
  </si>
  <si>
    <t>02670</t>
  </si>
  <si>
    <t>72.00405883789062</t>
  </si>
  <si>
    <t>7.004058837890625</t>
  </si>
  <si>
    <t>AD_DECODE31</t>
  </si>
  <si>
    <t>MCI</t>
  </si>
  <si>
    <t>Family 3</t>
  </si>
  <si>
    <t>02690</t>
  </si>
  <si>
    <t>49.232566833496094</t>
  </si>
  <si>
    <t>AD_DECODE33</t>
  </si>
  <si>
    <t>02695</t>
  </si>
  <si>
    <t>35.07532501220703</t>
  </si>
  <si>
    <t>4.075325012207031</t>
  </si>
  <si>
    <t>0.3356240368517729</t>
  </si>
  <si>
    <t>AD_DECODE34</t>
  </si>
  <si>
    <t>02715</t>
  </si>
  <si>
    <t>1.2661018371582031</t>
  </si>
  <si>
    <t>AD_DECODE35</t>
  </si>
  <si>
    <t>02720</t>
  </si>
  <si>
    <t>67.71189880371094</t>
  </si>
  <si>
    <t>AD_DECODE36</t>
  </si>
  <si>
    <t>02737</t>
  </si>
  <si>
    <t>42.25727081298828</t>
  </si>
  <si>
    <t>8.257270812988281</t>
  </si>
  <si>
    <t>4.759817159764941</t>
  </si>
  <si>
    <t>AD_DECODE37</t>
  </si>
  <si>
    <t>02753</t>
  </si>
  <si>
    <t>71.85855102539062</t>
  </si>
  <si>
    <t>2.858551025390625</t>
  </si>
  <si>
    <t>2.1873161303729933</t>
  </si>
  <si>
    <t>AD_DECODE39</t>
  </si>
  <si>
    <t>02227</t>
  </si>
  <si>
    <t>39.084190368652344</t>
  </si>
  <si>
    <t>2.0841903686523438</t>
  </si>
  <si>
    <t>AD_DECODE4</t>
  </si>
  <si>
    <t>asian</t>
  </si>
  <si>
    <t>02765</t>
  </si>
  <si>
    <t>54.43437957763672</t>
  </si>
  <si>
    <t>4.434379577636719</t>
  </si>
  <si>
    <t>2.2289116424502735</t>
  </si>
  <si>
    <t>AD_DECODE40</t>
  </si>
  <si>
    <t>02771</t>
  </si>
  <si>
    <t>57.209922790527344</t>
  </si>
  <si>
    <t>0.20992279052734375</t>
  </si>
  <si>
    <t>AD_DECODE41</t>
  </si>
  <si>
    <t>02781</t>
  </si>
  <si>
    <t>36.566612243652344</t>
  </si>
  <si>
    <t>1.5666122436523438</t>
  </si>
  <si>
    <t>AD_DECODE42</t>
  </si>
  <si>
    <t>02802</t>
  </si>
  <si>
    <t>11.706432342529297</t>
  </si>
  <si>
    <t>7.482236722910203</t>
  </si>
  <si>
    <t>AD_DECODE43</t>
  </si>
  <si>
    <t>02804</t>
  </si>
  <si>
    <t>53.45833206176758</t>
  </si>
  <si>
    <t>1.4583320617675781</t>
  </si>
  <si>
    <t>AD_DECODE44</t>
  </si>
  <si>
    <t>Family 5</t>
  </si>
  <si>
    <t>02813</t>
  </si>
  <si>
    <t>34.92669677734375</t>
  </si>
  <si>
    <t>AD_DECODE46</t>
  </si>
  <si>
    <t>02817</t>
  </si>
  <si>
    <t>59.326141357421875</t>
  </si>
  <si>
    <t>2.326141357421875</t>
  </si>
  <si>
    <t>0.6859171738765717</t>
  </si>
  <si>
    <t>AD_DECODE47</t>
  </si>
  <si>
    <t>02840</t>
  </si>
  <si>
    <t>51.43763732910156</t>
  </si>
  <si>
    <t>0.4376373291015625</t>
  </si>
  <si>
    <t>AD_DECODE49</t>
  </si>
  <si>
    <t>02877</t>
  </si>
  <si>
    <t>39.62921142578125</t>
  </si>
  <si>
    <t>AD_DECODE51</t>
  </si>
  <si>
    <t>Family 6</t>
  </si>
  <si>
    <t>02898</t>
  </si>
  <si>
    <t>41.11627960205078</t>
  </si>
  <si>
    <t>5.116279602050781</t>
  </si>
  <si>
    <t>1.780324163582053</t>
  </si>
  <si>
    <t>AD_DECODE52</t>
  </si>
  <si>
    <t>Family 2</t>
  </si>
  <si>
    <t>02926</t>
  </si>
  <si>
    <t>39.64265823364258</t>
  </si>
  <si>
    <t>AD_DECODE53A</t>
  </si>
  <si>
    <t>02938</t>
  </si>
  <si>
    <t>3.101062774658203</t>
  </si>
  <si>
    <t>1.1378421616036762</t>
  </si>
  <si>
    <t>AD_DECODE54</t>
  </si>
  <si>
    <t>02939</t>
  </si>
  <si>
    <t>73.13481903076172</t>
  </si>
  <si>
    <t>1.1348190307617188</t>
  </si>
  <si>
    <t>0.7058314578760054</t>
  </si>
  <si>
    <t>AD_DECODE55</t>
  </si>
  <si>
    <t>02954</t>
  </si>
  <si>
    <t>70.02242279052734</t>
  </si>
  <si>
    <t>3.0224227905273438</t>
  </si>
  <si>
    <t>AD_DECODE56</t>
  </si>
  <si>
    <t>02967</t>
  </si>
  <si>
    <t>105.60723876953125</t>
  </si>
  <si>
    <t>23.60723876953125</t>
  </si>
  <si>
    <t>23.985742270418598</t>
  </si>
  <si>
    <t>AD_DECODE57</t>
  </si>
  <si>
    <t>AD</t>
  </si>
  <si>
    <t>02987</t>
  </si>
  <si>
    <t>86.82946014404297</t>
  </si>
  <si>
    <t>12.829460144042969</t>
  </si>
  <si>
    <t>12.561970785911868</t>
  </si>
  <si>
    <t>AD_DECODE58</t>
  </si>
  <si>
    <t>03010</t>
  </si>
  <si>
    <t>60.21959686279297</t>
  </si>
  <si>
    <t>AD_DECODE59</t>
  </si>
  <si>
    <t>02320</t>
  </si>
  <si>
    <t>36.05077362060547</t>
  </si>
  <si>
    <t>5.050773620605469</t>
  </si>
  <si>
    <t>1.3110726452502104</t>
  </si>
  <si>
    <t>AD_DECODE6</t>
  </si>
  <si>
    <t>03017</t>
  </si>
  <si>
    <t>66.06624603271484</t>
  </si>
  <si>
    <t>AD_DECODE60</t>
  </si>
  <si>
    <t>03028</t>
  </si>
  <si>
    <t>46.05403137207031</t>
  </si>
  <si>
    <t>4.0540313720703125</t>
  </si>
  <si>
    <t>AD_DECODE61</t>
  </si>
  <si>
    <t>03033</t>
  </si>
  <si>
    <t>35.78356170654297</t>
  </si>
  <si>
    <t>4.783561706542969</t>
  </si>
  <si>
    <t>1.0438607311877104</t>
  </si>
  <si>
    <t>AD_DECODE62</t>
  </si>
  <si>
    <t>03034</t>
  </si>
  <si>
    <t>AD_DECODE63</t>
  </si>
  <si>
    <t>03045</t>
  </si>
  <si>
    <t>AD_DECODE64</t>
  </si>
  <si>
    <t>03069</t>
  </si>
  <si>
    <t>51.311397552490234</t>
  </si>
  <si>
    <t>10.311397552490234</t>
  </si>
  <si>
    <t>7.379187650908036</t>
  </si>
  <si>
    <t>AD_DECODE66</t>
  </si>
  <si>
    <t>03225</t>
  </si>
  <si>
    <t>67.04000091552734</t>
  </si>
  <si>
    <t>69.75225830078125</t>
  </si>
  <si>
    <t>2.7122573852539062</t>
  </si>
  <si>
    <t>1.8827543137047709</t>
  </si>
  <si>
    <t>AD_DECODE67</t>
  </si>
  <si>
    <t>03265</t>
  </si>
  <si>
    <t>71.26000213623047</t>
  </si>
  <si>
    <t>5.091438293457031</t>
  </si>
  <si>
    <t>4.602696553610815</t>
  </si>
  <si>
    <t>AD_DECODE68</t>
  </si>
  <si>
    <t>03293</t>
  </si>
  <si>
    <t>67.86000061035156</t>
  </si>
  <si>
    <t>61.80181121826172</t>
  </si>
  <si>
    <t>AD_DECODE69</t>
  </si>
  <si>
    <t>03308</t>
  </si>
  <si>
    <t>64.44999694824219</t>
  </si>
  <si>
    <t>59.62554931640625</t>
  </si>
  <si>
    <t>AD_DECODE70</t>
  </si>
  <si>
    <t>03343</t>
  </si>
  <si>
    <t>67.43978881835938</t>
  </si>
  <si>
    <t>AD_DECODE72</t>
  </si>
  <si>
    <t>03350</t>
  </si>
  <si>
    <t>42.619998931884766</t>
  </si>
  <si>
    <t>41.08209228515625</t>
  </si>
  <si>
    <t>AD_DECODE74</t>
  </si>
  <si>
    <t>03378</t>
  </si>
  <si>
    <t>65.41000366210938</t>
  </si>
  <si>
    <t>53.85486602783203</t>
  </si>
  <si>
    <t>AD_DECODE75</t>
  </si>
  <si>
    <t>03391</t>
  </si>
  <si>
    <t>74.88821411132812</t>
  </si>
  <si>
    <t>AD_DECODE76</t>
  </si>
  <si>
    <t>03847</t>
  </si>
  <si>
    <t>20.209999084472656</t>
  </si>
  <si>
    <t>28.83814811706543</t>
  </si>
  <si>
    <t>8.628149032592773</t>
  </si>
  <si>
    <t>4.017165114708368</t>
  </si>
  <si>
    <t>AD_DECODE77b</t>
  </si>
  <si>
    <t>Family7</t>
  </si>
  <si>
    <t>03889</t>
  </si>
  <si>
    <t>50.880001068115234</t>
  </si>
  <si>
    <t>44.65519332885742</t>
  </si>
  <si>
    <t>AD_DECODE80</t>
  </si>
  <si>
    <t>Family8</t>
  </si>
  <si>
    <t>03890</t>
  </si>
  <si>
    <t>84.85987091064453</t>
  </si>
  <si>
    <t>3.209869384765625</t>
  </si>
  <si>
    <t>3.5601108212842734</t>
  </si>
  <si>
    <t>AD_DECODE81</t>
  </si>
  <si>
    <t>03896</t>
  </si>
  <si>
    <t>78.12999725341797</t>
  </si>
  <si>
    <t>83.40797424316406</t>
  </si>
  <si>
    <t>5.277976989746094</t>
  </si>
  <si>
    <t>5.3439812232992185</t>
  </si>
  <si>
    <t>AD_DECODE82B</t>
  </si>
  <si>
    <t>00775</t>
  </si>
  <si>
    <t>66.69999694824219</t>
  </si>
  <si>
    <t>67.55226135253906</t>
  </si>
  <si>
    <t>AD_DECODE85</t>
  </si>
  <si>
    <t>04493</t>
  </si>
  <si>
    <t>69.80599975585938</t>
  </si>
  <si>
    <t>6.805999755859375</t>
  </si>
  <si>
    <t>5.6502702165779075</t>
  </si>
  <si>
    <t>AD_DECODE_91</t>
  </si>
  <si>
    <t>27.375650364203953</t>
  </si>
  <si>
    <t>4.230769230769231</t>
  </si>
  <si>
    <t>5.583333333333333</t>
  </si>
  <si>
    <t>4.416666666666667</t>
  </si>
  <si>
    <t>0.6666666666666666</t>
  </si>
  <si>
    <t>01412</t>
  </si>
  <si>
    <t>55.400001525878906</t>
  </si>
  <si>
    <t>55.79761505126953</t>
  </si>
  <si>
    <t>AD_DECODE_92</t>
  </si>
  <si>
    <t>28.650137741046834</t>
  </si>
  <si>
    <t>4.333333333333333</t>
  </si>
  <si>
    <t>4.428571428571429</t>
  </si>
  <si>
    <t>04526</t>
  </si>
  <si>
    <t>44.779998779296875</t>
  </si>
  <si>
    <t>56.19181823730469</t>
  </si>
  <si>
    <t>11.411819458007812</t>
  </si>
  <si>
    <t>8.784841083741142</t>
  </si>
  <si>
    <t>AD_DECODE_93</t>
  </si>
  <si>
    <t>19.926303854875282</t>
  </si>
  <si>
    <t>5.153846153846154</t>
  </si>
  <si>
    <t>3.8333333333333335</t>
  </si>
  <si>
    <t>01470</t>
  </si>
  <si>
    <t>60.65999984741211</t>
  </si>
  <si>
    <t>51.25383758544922</t>
  </si>
  <si>
    <t>AD_DECODE_94</t>
  </si>
  <si>
    <t>hispanic</t>
  </si>
  <si>
    <t>3.6666666666666665</t>
  </si>
  <si>
    <t>4.833333333333333</t>
  </si>
  <si>
    <t>5.333333333333333</t>
  </si>
  <si>
    <t>01619</t>
  </si>
  <si>
    <t>36.92777633666992</t>
  </si>
  <si>
    <t>38.08247756958008</t>
  </si>
  <si>
    <t>1.1547012329101562</t>
  </si>
  <si>
    <t>AD_DECODE_96</t>
  </si>
  <si>
    <t>Family9</t>
  </si>
  <si>
    <t>19.158861340679522</t>
  </si>
  <si>
    <t>4.583333333333333</t>
  </si>
  <si>
    <t>5.833333333333333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</si>
</sst>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3C23-F0EF-42E1-A93F-659A16CD1942}">
  <dimension ref="A1:BA77"/>
  <sheetViews>
    <sheetView topLeftCell="A59" workbookViewId="0">
      <selection activeCell="H77" sqref="H77"/>
    </sheetView>
  </sheetViews>
  <sheetFormatPr defaultRowHeight="14.4" x14ac:dyDescent="0.3"/>
  <cols>
    <col min="6" max="6" width="9.5546875" customWidth="1"/>
    <col min="8" max="8" width="12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s="1" t="s">
        <v>53</v>
      </c>
      <c r="B2">
        <v>40</v>
      </c>
      <c r="C2" s="1" t="s">
        <v>54</v>
      </c>
      <c r="D2" s="1" t="s">
        <v>55</v>
      </c>
      <c r="E2" s="1" t="s">
        <v>56</v>
      </c>
      <c r="F2" t="s">
        <v>57</v>
      </c>
      <c r="G2">
        <v>2110</v>
      </c>
      <c r="H2">
        <v>40</v>
      </c>
      <c r="I2" t="s">
        <v>58</v>
      </c>
      <c r="J2" t="s">
        <v>59</v>
      </c>
      <c r="K2" t="s">
        <v>60</v>
      </c>
      <c r="L2">
        <v>0</v>
      </c>
      <c r="M2" t="s">
        <v>61</v>
      </c>
      <c r="N2" t="s">
        <v>62</v>
      </c>
      <c r="P2">
        <v>120</v>
      </c>
      <c r="Q2">
        <v>78</v>
      </c>
      <c r="R2">
        <v>71</v>
      </c>
      <c r="S2">
        <v>182.5</v>
      </c>
      <c r="T2">
        <v>92.08</v>
      </c>
      <c r="U2">
        <v>27.646462750000001</v>
      </c>
      <c r="V2">
        <v>30</v>
      </c>
      <c r="W2">
        <v>15</v>
      </c>
      <c r="X2">
        <v>16</v>
      </c>
      <c r="Y2">
        <v>6</v>
      </c>
      <c r="Z2">
        <v>5.75</v>
      </c>
      <c r="AA2">
        <v>5.75</v>
      </c>
      <c r="AB2">
        <v>4.6666666670000003</v>
      </c>
      <c r="AC2">
        <v>0.67</v>
      </c>
      <c r="AD2">
        <v>0.66666666699999999</v>
      </c>
      <c r="AE2">
        <v>14</v>
      </c>
      <c r="AF2">
        <v>15</v>
      </c>
      <c r="AG2">
        <v>60</v>
      </c>
      <c r="AH2">
        <v>10</v>
      </c>
      <c r="AI2">
        <v>0</v>
      </c>
      <c r="AJ2">
        <v>11</v>
      </c>
      <c r="AK2">
        <v>8</v>
      </c>
      <c r="AL2">
        <v>9</v>
      </c>
      <c r="AM2">
        <v>7</v>
      </c>
      <c r="AN2">
        <v>15</v>
      </c>
      <c r="AO2">
        <v>40</v>
      </c>
      <c r="AP2">
        <v>25</v>
      </c>
      <c r="AQ2">
        <v>13</v>
      </c>
      <c r="AR2">
        <v>12</v>
      </c>
      <c r="AS2">
        <v>18</v>
      </c>
      <c r="AT2">
        <v>17</v>
      </c>
      <c r="AU2">
        <v>27</v>
      </c>
      <c r="AV2">
        <v>60</v>
      </c>
      <c r="AW2">
        <v>24</v>
      </c>
      <c r="AX2">
        <v>3</v>
      </c>
      <c r="AY2">
        <v>23</v>
      </c>
      <c r="AZ2">
        <v>1</v>
      </c>
      <c r="BA2" s="1" t="s">
        <v>53</v>
      </c>
    </row>
    <row r="3" spans="1:53" x14ac:dyDescent="0.3">
      <c r="A3" s="1" t="s">
        <v>63</v>
      </c>
      <c r="B3">
        <v>72</v>
      </c>
      <c r="C3" s="1" t="s">
        <v>64</v>
      </c>
      <c r="D3" s="1" t="s">
        <v>65</v>
      </c>
      <c r="E3" s="1" t="s">
        <v>66</v>
      </c>
      <c r="F3" t="s">
        <v>67</v>
      </c>
      <c r="G3">
        <v>2363</v>
      </c>
      <c r="H3">
        <v>72</v>
      </c>
      <c r="I3" t="s">
        <v>68</v>
      </c>
      <c r="J3" t="s">
        <v>69</v>
      </c>
      <c r="K3" t="s">
        <v>60</v>
      </c>
      <c r="L3">
        <v>0</v>
      </c>
      <c r="M3" t="s">
        <v>70</v>
      </c>
      <c r="P3">
        <v>138</v>
      </c>
      <c r="Q3">
        <v>81</v>
      </c>
      <c r="R3">
        <v>104</v>
      </c>
      <c r="S3">
        <v>167.64</v>
      </c>
      <c r="T3">
        <v>99.790300000000002</v>
      </c>
      <c r="U3">
        <v>35.508557009999997</v>
      </c>
      <c r="V3">
        <v>26</v>
      </c>
      <c r="W3">
        <v>16</v>
      </c>
      <c r="X3">
        <v>13</v>
      </c>
      <c r="Y3">
        <v>5.5833333329999997</v>
      </c>
      <c r="Z3">
        <v>5.9166666670000003</v>
      </c>
      <c r="AA3">
        <v>6.1666666670000003</v>
      </c>
      <c r="AB3">
        <v>5.9166666670000003</v>
      </c>
      <c r="AC3">
        <v>1</v>
      </c>
      <c r="AD3">
        <v>0.66666666699999999</v>
      </c>
      <c r="AE3">
        <v>13</v>
      </c>
      <c r="AF3">
        <v>12</v>
      </c>
      <c r="AG3">
        <v>52</v>
      </c>
      <c r="AH3">
        <v>7</v>
      </c>
      <c r="AI3">
        <v>1</v>
      </c>
      <c r="AJ3">
        <v>12</v>
      </c>
      <c r="AK3">
        <v>9</v>
      </c>
      <c r="AL3">
        <v>12</v>
      </c>
      <c r="AM3">
        <v>8</v>
      </c>
      <c r="AN3">
        <v>30</v>
      </c>
      <c r="AO3">
        <v>49</v>
      </c>
      <c r="AP3">
        <v>19</v>
      </c>
      <c r="AQ3">
        <v>53</v>
      </c>
      <c r="AR3">
        <v>18.25</v>
      </c>
      <c r="AS3">
        <v>30</v>
      </c>
      <c r="AT3">
        <v>17</v>
      </c>
      <c r="AU3">
        <v>63</v>
      </c>
      <c r="AV3">
        <v>143</v>
      </c>
      <c r="AW3">
        <v>21</v>
      </c>
      <c r="AX3">
        <v>1</v>
      </c>
      <c r="AY3">
        <v>12</v>
      </c>
      <c r="AZ3">
        <v>0</v>
      </c>
      <c r="BA3" s="1" t="s">
        <v>63</v>
      </c>
    </row>
    <row r="4" spans="1:53" x14ac:dyDescent="0.3">
      <c r="A4" s="1" t="s">
        <v>71</v>
      </c>
      <c r="B4">
        <v>41</v>
      </c>
      <c r="C4" s="1" t="s">
        <v>72</v>
      </c>
      <c r="D4" s="1" t="s">
        <v>73</v>
      </c>
      <c r="E4" s="1" t="s">
        <v>74</v>
      </c>
      <c r="F4" t="s">
        <v>75</v>
      </c>
      <c r="G4">
        <v>2373</v>
      </c>
      <c r="H4">
        <v>41</v>
      </c>
      <c r="I4" t="s">
        <v>58</v>
      </c>
      <c r="J4" t="s">
        <v>69</v>
      </c>
      <c r="K4" t="s">
        <v>76</v>
      </c>
      <c r="L4">
        <v>1</v>
      </c>
      <c r="M4" t="s">
        <v>61</v>
      </c>
      <c r="P4">
        <v>139</v>
      </c>
      <c r="Q4">
        <v>81</v>
      </c>
      <c r="R4">
        <v>82</v>
      </c>
      <c r="S4">
        <v>172.72</v>
      </c>
      <c r="T4">
        <v>99.790300000000002</v>
      </c>
      <c r="U4">
        <v>33.450535109999997</v>
      </c>
      <c r="V4">
        <v>29</v>
      </c>
      <c r="W4">
        <v>16</v>
      </c>
      <c r="X4">
        <v>12</v>
      </c>
      <c r="Y4">
        <v>5.25</v>
      </c>
      <c r="Z4">
        <v>5.25</v>
      </c>
      <c r="AA4">
        <v>5.1666666670000003</v>
      </c>
      <c r="AB4">
        <v>4.4166666670000003</v>
      </c>
      <c r="AC4">
        <v>0.67</v>
      </c>
      <c r="AD4">
        <v>0.5</v>
      </c>
      <c r="AE4">
        <v>7</v>
      </c>
      <c r="AF4">
        <v>9</v>
      </c>
      <c r="AG4">
        <v>49</v>
      </c>
      <c r="AH4">
        <v>11</v>
      </c>
      <c r="AI4">
        <v>6</v>
      </c>
      <c r="AJ4">
        <v>13</v>
      </c>
      <c r="AK4">
        <v>9</v>
      </c>
      <c r="AL4">
        <v>13</v>
      </c>
      <c r="AM4">
        <v>8</v>
      </c>
      <c r="AN4">
        <v>30</v>
      </c>
      <c r="AO4">
        <v>49</v>
      </c>
      <c r="AP4">
        <v>19</v>
      </c>
      <c r="AQ4">
        <v>63</v>
      </c>
      <c r="AR4">
        <v>19.25</v>
      </c>
      <c r="AS4">
        <v>39</v>
      </c>
      <c r="AT4">
        <v>17</v>
      </c>
      <c r="AU4">
        <v>90</v>
      </c>
      <c r="AV4">
        <v>93</v>
      </c>
      <c r="AW4">
        <v>28</v>
      </c>
      <c r="AX4">
        <v>0</v>
      </c>
      <c r="AY4">
        <v>20</v>
      </c>
      <c r="AZ4">
        <v>0</v>
      </c>
      <c r="BA4" s="1" t="s">
        <v>71</v>
      </c>
    </row>
    <row r="5" spans="1:53" x14ac:dyDescent="0.3">
      <c r="A5" s="1" t="s">
        <v>77</v>
      </c>
      <c r="B5">
        <v>42</v>
      </c>
      <c r="C5" s="1" t="s">
        <v>78</v>
      </c>
      <c r="D5">
        <v>-5.6376266479492099</v>
      </c>
      <c r="E5">
        <v>-8.4890874421541103</v>
      </c>
      <c r="F5" t="s">
        <v>79</v>
      </c>
      <c r="G5">
        <v>2386</v>
      </c>
      <c r="H5">
        <v>42</v>
      </c>
      <c r="I5" t="s">
        <v>68</v>
      </c>
      <c r="J5" t="s">
        <v>69</v>
      </c>
      <c r="K5" t="s">
        <v>76</v>
      </c>
      <c r="L5">
        <v>1</v>
      </c>
      <c r="M5" t="s">
        <v>61</v>
      </c>
      <c r="P5">
        <v>134</v>
      </c>
      <c r="Q5">
        <v>82</v>
      </c>
      <c r="R5">
        <v>75</v>
      </c>
      <c r="S5">
        <v>162.56</v>
      </c>
      <c r="T5">
        <v>77.564300000000003</v>
      </c>
      <c r="U5">
        <v>29.351783560000001</v>
      </c>
      <c r="V5">
        <v>26</v>
      </c>
      <c r="W5">
        <v>16</v>
      </c>
      <c r="X5">
        <v>13</v>
      </c>
      <c r="Y5">
        <v>5.1666666670000003</v>
      </c>
      <c r="Z5">
        <v>5.4166666670000003</v>
      </c>
      <c r="AA5">
        <v>5.5833333329999997</v>
      </c>
      <c r="AB5">
        <v>5.5</v>
      </c>
      <c r="AC5">
        <v>0.67</v>
      </c>
      <c r="AD5">
        <v>0.66666666699999999</v>
      </c>
      <c r="AE5">
        <v>7</v>
      </c>
      <c r="AF5">
        <v>10</v>
      </c>
      <c r="AG5">
        <v>47</v>
      </c>
      <c r="AH5">
        <v>6</v>
      </c>
      <c r="AI5">
        <v>2</v>
      </c>
      <c r="AJ5">
        <v>7</v>
      </c>
      <c r="AK5">
        <v>6</v>
      </c>
      <c r="AL5">
        <v>8</v>
      </c>
      <c r="AM5">
        <v>5</v>
      </c>
      <c r="AN5">
        <v>35</v>
      </c>
      <c r="AO5">
        <v>83</v>
      </c>
      <c r="AP5">
        <v>48</v>
      </c>
      <c r="AQ5">
        <v>51</v>
      </c>
      <c r="AR5">
        <v>20.25</v>
      </c>
      <c r="AS5">
        <v>37</v>
      </c>
      <c r="AT5">
        <v>17</v>
      </c>
      <c r="AU5">
        <v>80</v>
      </c>
      <c r="AV5">
        <v>137</v>
      </c>
      <c r="AW5">
        <v>19</v>
      </c>
      <c r="AX5">
        <v>1</v>
      </c>
      <c r="AY5">
        <v>16</v>
      </c>
      <c r="AZ5">
        <v>2</v>
      </c>
      <c r="BA5" s="1" t="s">
        <v>77</v>
      </c>
    </row>
    <row r="6" spans="1:53" x14ac:dyDescent="0.3">
      <c r="A6" s="1" t="s">
        <v>80</v>
      </c>
      <c r="B6">
        <v>45</v>
      </c>
      <c r="C6" s="1" t="s">
        <v>81</v>
      </c>
      <c r="D6">
        <v>-1.0241622924804601</v>
      </c>
      <c r="E6">
        <v>-3.6333757645534401</v>
      </c>
      <c r="F6" t="s">
        <v>82</v>
      </c>
      <c r="G6">
        <v>2390</v>
      </c>
      <c r="H6">
        <v>45</v>
      </c>
      <c r="I6" t="s">
        <v>83</v>
      </c>
      <c r="J6" t="s">
        <v>69</v>
      </c>
      <c r="K6" t="s">
        <v>76</v>
      </c>
      <c r="L6">
        <v>1</v>
      </c>
      <c r="M6" t="s">
        <v>61</v>
      </c>
      <c r="P6">
        <v>140</v>
      </c>
      <c r="Q6">
        <v>81</v>
      </c>
      <c r="R6">
        <v>60</v>
      </c>
      <c r="S6">
        <v>157.47999999999999</v>
      </c>
      <c r="T6">
        <v>70.306799999999996</v>
      </c>
      <c r="U6">
        <v>28.34957283</v>
      </c>
      <c r="V6">
        <v>24</v>
      </c>
      <c r="W6">
        <v>15</v>
      </c>
      <c r="X6">
        <v>15</v>
      </c>
      <c r="Y6">
        <v>4.75</v>
      </c>
      <c r="Z6">
        <v>4.5833333329999997</v>
      </c>
      <c r="AA6">
        <v>4.25</v>
      </c>
      <c r="AB6">
        <v>3.6666666669999999</v>
      </c>
      <c r="AC6">
        <v>1</v>
      </c>
      <c r="AD6">
        <v>0.83333333300000001</v>
      </c>
      <c r="AE6">
        <v>6</v>
      </c>
      <c r="AF6">
        <v>4</v>
      </c>
      <c r="AG6">
        <v>36</v>
      </c>
      <c r="AH6">
        <v>7</v>
      </c>
      <c r="AI6">
        <v>6</v>
      </c>
      <c r="AJ6">
        <v>9</v>
      </c>
      <c r="AK6">
        <v>7</v>
      </c>
      <c r="AL6">
        <v>8</v>
      </c>
      <c r="AM6">
        <v>6</v>
      </c>
      <c r="AN6">
        <v>26</v>
      </c>
      <c r="AO6">
        <v>54</v>
      </c>
      <c r="AP6">
        <v>28</v>
      </c>
      <c r="AQ6">
        <v>48</v>
      </c>
      <c r="AR6">
        <v>12.75</v>
      </c>
      <c r="AS6">
        <v>22</v>
      </c>
      <c r="AT6">
        <v>17</v>
      </c>
      <c r="AU6">
        <v>30</v>
      </c>
      <c r="AV6">
        <v>30</v>
      </c>
      <c r="AW6">
        <v>16</v>
      </c>
      <c r="AX6">
        <v>2</v>
      </c>
      <c r="AY6">
        <v>17</v>
      </c>
      <c r="AZ6">
        <v>4</v>
      </c>
      <c r="BA6" s="1" t="s">
        <v>80</v>
      </c>
    </row>
    <row r="7" spans="1:53" x14ac:dyDescent="0.3">
      <c r="A7" s="1" t="s">
        <v>84</v>
      </c>
      <c r="B7">
        <v>21</v>
      </c>
      <c r="C7" s="1" t="s">
        <v>85</v>
      </c>
      <c r="D7" s="1" t="s">
        <v>86</v>
      </c>
      <c r="E7" s="1" t="s">
        <v>87</v>
      </c>
      <c r="F7" t="s">
        <v>88</v>
      </c>
      <c r="G7">
        <v>2231</v>
      </c>
      <c r="H7">
        <v>21</v>
      </c>
      <c r="I7" t="s">
        <v>58</v>
      </c>
      <c r="J7" t="s">
        <v>59</v>
      </c>
      <c r="K7" t="s">
        <v>76</v>
      </c>
      <c r="L7">
        <v>1</v>
      </c>
      <c r="M7" t="s">
        <v>89</v>
      </c>
      <c r="P7">
        <v>133</v>
      </c>
      <c r="Q7">
        <v>77</v>
      </c>
      <c r="R7">
        <v>72</v>
      </c>
      <c r="S7">
        <v>171.5</v>
      </c>
      <c r="T7">
        <v>68</v>
      </c>
      <c r="U7">
        <v>23.11961853</v>
      </c>
      <c r="V7">
        <v>30</v>
      </c>
      <c r="W7">
        <v>16</v>
      </c>
      <c r="X7">
        <v>14</v>
      </c>
      <c r="Y7">
        <v>3.75</v>
      </c>
      <c r="Z7">
        <v>4.4166666670000003</v>
      </c>
      <c r="AA7">
        <v>3.75</v>
      </c>
      <c r="AB7">
        <v>3.8333333330000001</v>
      </c>
      <c r="AC7">
        <v>1</v>
      </c>
      <c r="AD7">
        <v>0.83333333300000001</v>
      </c>
      <c r="AE7">
        <v>10</v>
      </c>
      <c r="AF7">
        <v>7</v>
      </c>
      <c r="AG7">
        <v>53</v>
      </c>
      <c r="AH7">
        <v>7</v>
      </c>
      <c r="AI7">
        <v>6</v>
      </c>
      <c r="AJ7">
        <v>9</v>
      </c>
      <c r="AK7">
        <v>7</v>
      </c>
      <c r="AL7">
        <v>8</v>
      </c>
      <c r="AM7">
        <v>5</v>
      </c>
      <c r="AN7">
        <v>19</v>
      </c>
      <c r="AO7">
        <v>30</v>
      </c>
      <c r="AP7">
        <v>11</v>
      </c>
      <c r="AQ7">
        <v>59</v>
      </c>
      <c r="AR7">
        <v>14.5</v>
      </c>
      <c r="AS7">
        <v>30</v>
      </c>
      <c r="AT7">
        <v>17</v>
      </c>
      <c r="AU7">
        <v>24</v>
      </c>
      <c r="AV7">
        <v>60</v>
      </c>
      <c r="AW7">
        <v>23</v>
      </c>
      <c r="AX7">
        <v>4</v>
      </c>
      <c r="AY7">
        <v>18</v>
      </c>
      <c r="AZ7">
        <v>5</v>
      </c>
      <c r="BA7" s="1" t="s">
        <v>84</v>
      </c>
    </row>
    <row r="8" spans="1:53" x14ac:dyDescent="0.3">
      <c r="A8" s="1" t="s">
        <v>90</v>
      </c>
      <c r="B8">
        <v>50</v>
      </c>
      <c r="C8" s="1" t="s">
        <v>91</v>
      </c>
      <c r="D8">
        <v>-3.8562164306640598</v>
      </c>
      <c r="E8">
        <v>-6.0616843658504997</v>
      </c>
      <c r="F8" t="s">
        <v>92</v>
      </c>
      <c r="G8">
        <v>2402</v>
      </c>
      <c r="H8">
        <v>50</v>
      </c>
      <c r="I8" t="s">
        <v>93</v>
      </c>
      <c r="J8" t="s">
        <v>59</v>
      </c>
      <c r="K8" t="s">
        <v>76</v>
      </c>
      <c r="L8">
        <v>1</v>
      </c>
      <c r="M8" t="s">
        <v>61</v>
      </c>
      <c r="P8">
        <v>101</v>
      </c>
      <c r="Q8">
        <v>81</v>
      </c>
      <c r="R8">
        <v>93</v>
      </c>
      <c r="S8">
        <v>180.34</v>
      </c>
      <c r="T8">
        <v>104.32599999999999</v>
      </c>
      <c r="U8">
        <v>32.078084390000001</v>
      </c>
      <c r="V8">
        <v>30</v>
      </c>
      <c r="W8">
        <v>16</v>
      </c>
      <c r="X8">
        <v>17</v>
      </c>
      <c r="Y8">
        <v>4.4166666670000003</v>
      </c>
      <c r="Z8">
        <v>3.3333333330000001</v>
      </c>
      <c r="AA8">
        <v>4.25</v>
      </c>
      <c r="AB8">
        <v>3.3333333330000001</v>
      </c>
      <c r="AC8">
        <v>1</v>
      </c>
      <c r="AD8">
        <v>0.66666666699999999</v>
      </c>
      <c r="AE8">
        <v>10</v>
      </c>
      <c r="AF8">
        <v>11</v>
      </c>
      <c r="AG8">
        <v>52</v>
      </c>
      <c r="AH8">
        <v>8</v>
      </c>
      <c r="AI8">
        <v>2</v>
      </c>
      <c r="AJ8">
        <v>12</v>
      </c>
      <c r="AK8">
        <v>8</v>
      </c>
      <c r="AL8">
        <v>9</v>
      </c>
      <c r="AM8">
        <v>6</v>
      </c>
      <c r="AN8">
        <v>28</v>
      </c>
      <c r="AO8">
        <v>52</v>
      </c>
      <c r="AP8">
        <v>24</v>
      </c>
      <c r="AQ8">
        <v>52</v>
      </c>
      <c r="AR8">
        <v>18.5</v>
      </c>
      <c r="AS8">
        <v>36</v>
      </c>
      <c r="AT8">
        <v>17</v>
      </c>
      <c r="AU8">
        <v>63</v>
      </c>
      <c r="AV8">
        <v>63</v>
      </c>
      <c r="AW8">
        <v>29</v>
      </c>
      <c r="AX8">
        <v>1</v>
      </c>
      <c r="AY8">
        <v>28</v>
      </c>
      <c r="AZ8">
        <v>1</v>
      </c>
      <c r="BA8" s="1" t="s">
        <v>90</v>
      </c>
    </row>
    <row r="9" spans="1:53" x14ac:dyDescent="0.3">
      <c r="A9" s="1" t="s">
        <v>94</v>
      </c>
      <c r="B9">
        <v>64</v>
      </c>
      <c r="C9" s="1" t="s">
        <v>95</v>
      </c>
      <c r="D9" s="1" t="s">
        <v>96</v>
      </c>
      <c r="E9">
        <v>-0.22035854469713001</v>
      </c>
      <c r="F9" t="s">
        <v>97</v>
      </c>
      <c r="G9">
        <v>2410</v>
      </c>
      <c r="H9">
        <v>64</v>
      </c>
      <c r="I9" t="s">
        <v>58</v>
      </c>
      <c r="J9" t="s">
        <v>69</v>
      </c>
      <c r="K9" t="s">
        <v>60</v>
      </c>
      <c r="L9">
        <v>0</v>
      </c>
      <c r="M9" t="s">
        <v>61</v>
      </c>
      <c r="P9">
        <v>118</v>
      </c>
      <c r="Q9">
        <v>95</v>
      </c>
      <c r="R9">
        <v>65</v>
      </c>
      <c r="S9">
        <v>167.64</v>
      </c>
      <c r="T9">
        <v>117.934</v>
      </c>
      <c r="U9">
        <v>41.96466152</v>
      </c>
      <c r="V9">
        <v>28</v>
      </c>
      <c r="W9">
        <v>16</v>
      </c>
      <c r="X9">
        <v>15</v>
      </c>
      <c r="Y9">
        <v>6.1666666670000003</v>
      </c>
      <c r="Z9">
        <v>6.0833333329999997</v>
      </c>
      <c r="AA9">
        <v>4.6666666670000003</v>
      </c>
      <c r="AB9">
        <v>4.25</v>
      </c>
      <c r="AC9">
        <v>1</v>
      </c>
      <c r="AD9">
        <v>0.83333333300000001</v>
      </c>
      <c r="AE9">
        <v>6</v>
      </c>
      <c r="AF9">
        <v>6</v>
      </c>
      <c r="AG9">
        <v>31</v>
      </c>
      <c r="AH9">
        <v>5</v>
      </c>
      <c r="AI9">
        <v>3</v>
      </c>
      <c r="AJ9">
        <v>7</v>
      </c>
      <c r="AK9">
        <v>6</v>
      </c>
      <c r="AL9">
        <v>8</v>
      </c>
      <c r="AM9">
        <v>6</v>
      </c>
      <c r="AN9">
        <v>40</v>
      </c>
      <c r="AO9">
        <v>84</v>
      </c>
      <c r="AP9">
        <v>44</v>
      </c>
      <c r="AQ9">
        <v>48</v>
      </c>
      <c r="AR9">
        <v>12</v>
      </c>
      <c r="AS9">
        <v>19</v>
      </c>
      <c r="AT9">
        <v>17</v>
      </c>
      <c r="AU9">
        <v>150</v>
      </c>
      <c r="AV9">
        <v>150</v>
      </c>
      <c r="AW9">
        <v>19</v>
      </c>
      <c r="AX9">
        <v>3</v>
      </c>
      <c r="AY9">
        <v>21</v>
      </c>
      <c r="AZ9">
        <v>3</v>
      </c>
      <c r="BA9" s="1" t="s">
        <v>94</v>
      </c>
    </row>
    <row r="10" spans="1:53" x14ac:dyDescent="0.3">
      <c r="A10" s="1" t="s">
        <v>98</v>
      </c>
      <c r="B10">
        <v>54</v>
      </c>
      <c r="C10" s="1" t="s">
        <v>99</v>
      </c>
      <c r="D10">
        <v>-3.9591217041015598</v>
      </c>
      <c r="E10">
        <v>-5.8415932097787797</v>
      </c>
      <c r="F10" t="s">
        <v>100</v>
      </c>
      <c r="G10">
        <v>2421</v>
      </c>
      <c r="H10">
        <v>54</v>
      </c>
      <c r="I10" t="s">
        <v>68</v>
      </c>
      <c r="J10" t="s">
        <v>69</v>
      </c>
      <c r="K10" t="s">
        <v>76</v>
      </c>
      <c r="L10">
        <v>1</v>
      </c>
      <c r="M10" t="s">
        <v>61</v>
      </c>
      <c r="P10">
        <v>142</v>
      </c>
      <c r="Q10">
        <v>82</v>
      </c>
      <c r="R10">
        <v>65</v>
      </c>
      <c r="S10">
        <v>152.4</v>
      </c>
      <c r="T10">
        <v>68.945999999999998</v>
      </c>
      <c r="U10">
        <v>29.6851427</v>
      </c>
      <c r="V10">
        <v>30</v>
      </c>
      <c r="W10">
        <v>16</v>
      </c>
      <c r="X10">
        <v>13</v>
      </c>
      <c r="Y10">
        <v>5.5833333329999997</v>
      </c>
      <c r="Z10">
        <v>5.9166666670000003</v>
      </c>
      <c r="AA10">
        <v>6.1666666670000003</v>
      </c>
      <c r="AB10">
        <v>5.9166666670000003</v>
      </c>
      <c r="AC10">
        <v>1</v>
      </c>
      <c r="AD10">
        <v>0.66666666699999999</v>
      </c>
      <c r="AE10">
        <v>13</v>
      </c>
      <c r="AF10">
        <v>12</v>
      </c>
      <c r="AG10">
        <v>52</v>
      </c>
      <c r="AH10">
        <v>7</v>
      </c>
      <c r="AI10">
        <v>1</v>
      </c>
      <c r="AJ10">
        <v>12</v>
      </c>
      <c r="AK10">
        <v>9</v>
      </c>
      <c r="AL10">
        <v>12</v>
      </c>
      <c r="AM10">
        <v>8</v>
      </c>
      <c r="AN10">
        <v>30</v>
      </c>
      <c r="AO10">
        <v>49</v>
      </c>
      <c r="AP10">
        <v>19</v>
      </c>
      <c r="AQ10">
        <v>53</v>
      </c>
      <c r="AR10">
        <v>18.25</v>
      </c>
      <c r="AS10">
        <v>30</v>
      </c>
      <c r="AT10">
        <v>17</v>
      </c>
      <c r="AU10">
        <v>63</v>
      </c>
      <c r="AV10">
        <v>143</v>
      </c>
      <c r="AW10">
        <v>21</v>
      </c>
      <c r="AX10">
        <v>1</v>
      </c>
      <c r="AY10">
        <v>12</v>
      </c>
      <c r="AZ10">
        <v>0</v>
      </c>
      <c r="BA10" s="1" t="s">
        <v>98</v>
      </c>
    </row>
    <row r="11" spans="1:53" x14ac:dyDescent="0.3">
      <c r="A11" s="1" t="s">
        <v>101</v>
      </c>
      <c r="B11">
        <v>36</v>
      </c>
      <c r="C11" s="1" t="s">
        <v>102</v>
      </c>
      <c r="D11" s="1" t="s">
        <v>103</v>
      </c>
      <c r="E11" s="1" t="s">
        <v>104</v>
      </c>
      <c r="F11" t="s">
        <v>105</v>
      </c>
      <c r="G11">
        <v>1912</v>
      </c>
      <c r="H11">
        <v>36</v>
      </c>
      <c r="I11" t="s">
        <v>58</v>
      </c>
      <c r="J11" t="s">
        <v>59</v>
      </c>
      <c r="K11" t="s">
        <v>60</v>
      </c>
      <c r="L11">
        <v>0</v>
      </c>
      <c r="M11" t="s">
        <v>61</v>
      </c>
      <c r="P11">
        <v>125</v>
      </c>
      <c r="Q11">
        <v>85</v>
      </c>
      <c r="R11">
        <v>70</v>
      </c>
      <c r="S11">
        <v>187.96</v>
      </c>
      <c r="T11">
        <v>90.718500000000006</v>
      </c>
      <c r="U11">
        <v>25.678224289999999</v>
      </c>
      <c r="V11">
        <v>30</v>
      </c>
      <c r="W11">
        <v>14</v>
      </c>
      <c r="X11">
        <v>14</v>
      </c>
      <c r="Y11">
        <v>5.75</v>
      </c>
      <c r="Z11">
        <v>5</v>
      </c>
      <c r="AA11">
        <v>7</v>
      </c>
      <c r="AB11">
        <v>4.3333333329999997</v>
      </c>
      <c r="AC11">
        <v>1</v>
      </c>
      <c r="AD11">
        <v>0.66666666699999999</v>
      </c>
      <c r="AE11">
        <v>15</v>
      </c>
      <c r="AF11">
        <v>15</v>
      </c>
      <c r="AG11">
        <v>58</v>
      </c>
      <c r="AH11">
        <v>10</v>
      </c>
      <c r="AI11">
        <v>0</v>
      </c>
      <c r="AJ11">
        <v>14</v>
      </c>
      <c r="AK11">
        <v>9</v>
      </c>
      <c r="AL11">
        <v>15</v>
      </c>
      <c r="AM11">
        <v>8</v>
      </c>
      <c r="AN11">
        <v>30</v>
      </c>
      <c r="AO11">
        <v>50</v>
      </c>
      <c r="AP11">
        <v>20</v>
      </c>
      <c r="AQ11">
        <v>79</v>
      </c>
      <c r="AR11">
        <v>16.75</v>
      </c>
      <c r="AS11">
        <v>26</v>
      </c>
      <c r="AT11">
        <v>17</v>
      </c>
      <c r="AU11">
        <v>37</v>
      </c>
      <c r="AV11">
        <v>63</v>
      </c>
      <c r="AW11">
        <v>33</v>
      </c>
      <c r="AX11">
        <v>3</v>
      </c>
      <c r="AY11">
        <v>33</v>
      </c>
      <c r="AZ11">
        <v>3</v>
      </c>
      <c r="BA11" s="1" t="s">
        <v>101</v>
      </c>
    </row>
    <row r="12" spans="1:53" x14ac:dyDescent="0.3">
      <c r="A12" s="1" t="s">
        <v>106</v>
      </c>
      <c r="B12">
        <v>48</v>
      </c>
      <c r="C12" s="1" t="s">
        <v>107</v>
      </c>
      <c r="D12" s="1" t="s">
        <v>108</v>
      </c>
      <c r="E12">
        <v>-0.49394216312465</v>
      </c>
      <c r="F12" t="s">
        <v>109</v>
      </c>
      <c r="G12">
        <v>2424</v>
      </c>
      <c r="H12">
        <v>48</v>
      </c>
      <c r="I12" t="s">
        <v>68</v>
      </c>
      <c r="J12" t="s">
        <v>69</v>
      </c>
      <c r="K12" t="s">
        <v>76</v>
      </c>
      <c r="L12">
        <v>1</v>
      </c>
      <c r="M12" t="s">
        <v>61</v>
      </c>
      <c r="P12">
        <v>119</v>
      </c>
      <c r="Q12">
        <v>80</v>
      </c>
      <c r="R12">
        <v>70</v>
      </c>
      <c r="S12">
        <v>165.1</v>
      </c>
      <c r="T12">
        <v>68.038899999999998</v>
      </c>
      <c r="U12">
        <v>24.96106649</v>
      </c>
      <c r="V12">
        <v>30</v>
      </c>
      <c r="W12">
        <v>16</v>
      </c>
      <c r="X12">
        <v>12</v>
      </c>
      <c r="Y12">
        <v>5.25</v>
      </c>
      <c r="Z12">
        <v>5.25</v>
      </c>
      <c r="AA12">
        <v>5.1666666670000003</v>
      </c>
      <c r="AB12">
        <v>4.4166666670000003</v>
      </c>
      <c r="AC12">
        <v>0.67</v>
      </c>
      <c r="AD12">
        <v>0.5</v>
      </c>
      <c r="AE12">
        <v>7</v>
      </c>
      <c r="AF12">
        <v>9</v>
      </c>
      <c r="AG12">
        <v>49</v>
      </c>
      <c r="AH12">
        <v>11</v>
      </c>
      <c r="AI12">
        <v>6</v>
      </c>
      <c r="AJ12">
        <v>13</v>
      </c>
      <c r="AK12">
        <v>9</v>
      </c>
      <c r="AL12">
        <v>13</v>
      </c>
      <c r="AM12">
        <v>8</v>
      </c>
      <c r="AN12">
        <v>30</v>
      </c>
      <c r="AO12">
        <v>49</v>
      </c>
      <c r="AP12">
        <v>19</v>
      </c>
      <c r="AQ12">
        <v>63</v>
      </c>
      <c r="AR12">
        <v>19.25</v>
      </c>
      <c r="AS12">
        <v>39</v>
      </c>
      <c r="AT12">
        <v>17</v>
      </c>
      <c r="AU12">
        <v>90</v>
      </c>
      <c r="AV12">
        <v>93</v>
      </c>
      <c r="AW12">
        <v>28</v>
      </c>
      <c r="AX12">
        <v>0</v>
      </c>
      <c r="AY12">
        <v>20</v>
      </c>
      <c r="AZ12">
        <v>0</v>
      </c>
      <c r="BA12" s="1" t="s">
        <v>106</v>
      </c>
    </row>
    <row r="13" spans="1:53" x14ac:dyDescent="0.3">
      <c r="A13" s="1" t="s">
        <v>110</v>
      </c>
      <c r="B13">
        <v>42</v>
      </c>
      <c r="C13">
        <v>39.141613006591797</v>
      </c>
      <c r="D13">
        <v>-2.8583869934082</v>
      </c>
      <c r="E13">
        <v>-5.7098477876130902</v>
      </c>
      <c r="F13" t="s">
        <v>111</v>
      </c>
      <c r="G13">
        <v>2446</v>
      </c>
      <c r="H13">
        <v>42</v>
      </c>
      <c r="I13" t="s">
        <v>68</v>
      </c>
      <c r="J13" t="s">
        <v>69</v>
      </c>
      <c r="K13" t="s">
        <v>76</v>
      </c>
      <c r="L13">
        <v>1</v>
      </c>
      <c r="M13" t="s">
        <v>61</v>
      </c>
      <c r="N13" t="s">
        <v>112</v>
      </c>
      <c r="O13">
        <v>4</v>
      </c>
      <c r="P13">
        <v>123</v>
      </c>
      <c r="Q13">
        <v>88</v>
      </c>
      <c r="R13">
        <v>61</v>
      </c>
      <c r="S13">
        <v>167.64</v>
      </c>
      <c r="T13">
        <v>68.038899999999998</v>
      </c>
      <c r="U13">
        <v>24.210400809999999</v>
      </c>
      <c r="V13">
        <v>26</v>
      </c>
      <c r="W13">
        <v>15</v>
      </c>
      <c r="X13">
        <v>14</v>
      </c>
      <c r="Y13">
        <v>5.1666666670000003</v>
      </c>
      <c r="Z13">
        <v>4.75</v>
      </c>
      <c r="AA13">
        <v>4.9166666670000003</v>
      </c>
      <c r="AB13">
        <v>3.6666666669999999</v>
      </c>
      <c r="AC13">
        <v>1</v>
      </c>
      <c r="AD13">
        <v>0.83333333300000001</v>
      </c>
      <c r="AE13">
        <v>11</v>
      </c>
      <c r="AF13">
        <v>11</v>
      </c>
      <c r="AG13">
        <v>54</v>
      </c>
      <c r="AH13">
        <v>8</v>
      </c>
      <c r="AI13">
        <v>2</v>
      </c>
      <c r="AJ13">
        <v>10</v>
      </c>
      <c r="AK13">
        <v>7</v>
      </c>
      <c r="AL13">
        <v>6</v>
      </c>
      <c r="AM13">
        <v>5</v>
      </c>
      <c r="AN13">
        <v>63</v>
      </c>
      <c r="AO13">
        <v>71</v>
      </c>
      <c r="AP13">
        <v>8</v>
      </c>
      <c r="AQ13">
        <v>52</v>
      </c>
      <c r="AR13">
        <v>22.25</v>
      </c>
      <c r="AS13">
        <v>44</v>
      </c>
      <c r="AT13">
        <v>17</v>
      </c>
      <c r="AU13">
        <v>70</v>
      </c>
      <c r="AV13">
        <v>187</v>
      </c>
      <c r="AW13">
        <v>12</v>
      </c>
      <c r="AX13">
        <v>2</v>
      </c>
      <c r="AY13">
        <v>13</v>
      </c>
      <c r="AZ13">
        <v>2</v>
      </c>
      <c r="BA13" s="1" t="s">
        <v>110</v>
      </c>
    </row>
    <row r="14" spans="1:53" x14ac:dyDescent="0.3">
      <c r="A14" s="1" t="s">
        <v>113</v>
      </c>
      <c r="B14">
        <v>47</v>
      </c>
      <c r="C14" s="1" t="s">
        <v>114</v>
      </c>
      <c r="D14">
        <v>-0.98772048950195301</v>
      </c>
      <c r="E14">
        <v>-3.4354357468203101</v>
      </c>
      <c r="F14" t="s">
        <v>115</v>
      </c>
      <c r="G14">
        <v>2451</v>
      </c>
      <c r="H14">
        <v>47</v>
      </c>
      <c r="I14" t="s">
        <v>58</v>
      </c>
      <c r="J14" t="s">
        <v>69</v>
      </c>
      <c r="K14" t="s">
        <v>76</v>
      </c>
      <c r="L14">
        <v>1</v>
      </c>
      <c r="M14" t="s">
        <v>61</v>
      </c>
      <c r="P14">
        <v>128</v>
      </c>
      <c r="Q14">
        <v>81</v>
      </c>
      <c r="R14">
        <v>66</v>
      </c>
      <c r="S14">
        <v>171.45</v>
      </c>
      <c r="T14">
        <v>58.966999999999999</v>
      </c>
      <c r="U14">
        <v>20.06014437</v>
      </c>
      <c r="V14">
        <v>29</v>
      </c>
      <c r="W14">
        <v>16</v>
      </c>
      <c r="X14">
        <v>13</v>
      </c>
      <c r="Y14">
        <v>5</v>
      </c>
      <c r="Z14">
        <v>5.1666666670000003</v>
      </c>
      <c r="AA14">
        <v>5.0833333329999997</v>
      </c>
      <c r="AB14">
        <v>4.4166666670000003</v>
      </c>
      <c r="AC14">
        <v>1</v>
      </c>
      <c r="AD14">
        <v>0.66666666699999999</v>
      </c>
      <c r="AE14">
        <v>13</v>
      </c>
      <c r="AF14">
        <v>15</v>
      </c>
      <c r="AG14">
        <v>57</v>
      </c>
      <c r="AH14">
        <v>7</v>
      </c>
      <c r="AI14">
        <v>1</v>
      </c>
      <c r="AJ14">
        <v>14</v>
      </c>
      <c r="AK14">
        <v>9</v>
      </c>
      <c r="AL14">
        <v>14</v>
      </c>
      <c r="AM14">
        <v>8</v>
      </c>
      <c r="AN14">
        <v>44</v>
      </c>
      <c r="AO14">
        <v>73</v>
      </c>
      <c r="AP14">
        <v>29</v>
      </c>
      <c r="AQ14">
        <v>59</v>
      </c>
      <c r="AR14">
        <v>15.75</v>
      </c>
      <c r="AS14">
        <v>28</v>
      </c>
      <c r="AT14">
        <v>17</v>
      </c>
      <c r="AU14">
        <v>67</v>
      </c>
      <c r="AV14">
        <v>90</v>
      </c>
      <c r="AW14">
        <v>15</v>
      </c>
      <c r="AX14">
        <v>3</v>
      </c>
      <c r="AY14">
        <v>13</v>
      </c>
      <c r="AZ14">
        <v>3</v>
      </c>
      <c r="BA14" s="1" t="s">
        <v>113</v>
      </c>
    </row>
    <row r="15" spans="1:53" x14ac:dyDescent="0.3">
      <c r="A15" s="1" t="s">
        <v>116</v>
      </c>
      <c r="B15">
        <v>51</v>
      </c>
      <c r="C15" s="1" t="s">
        <v>117</v>
      </c>
      <c r="D15" s="1" t="s">
        <v>118</v>
      </c>
      <c r="E15" s="1" t="s">
        <v>119</v>
      </c>
      <c r="F15" t="s">
        <v>120</v>
      </c>
      <c r="G15">
        <v>2485</v>
      </c>
      <c r="H15">
        <v>51</v>
      </c>
      <c r="I15" t="s">
        <v>58</v>
      </c>
      <c r="J15" t="s">
        <v>59</v>
      </c>
      <c r="K15" t="s">
        <v>60</v>
      </c>
      <c r="L15">
        <v>0</v>
      </c>
      <c r="M15" t="s">
        <v>121</v>
      </c>
      <c r="P15">
        <v>100</v>
      </c>
      <c r="Q15">
        <v>70</v>
      </c>
      <c r="R15">
        <v>77</v>
      </c>
      <c r="S15">
        <v>185.42</v>
      </c>
      <c r="T15">
        <v>98.429500000000004</v>
      </c>
      <c r="U15">
        <v>28.629392030000002</v>
      </c>
      <c r="V15">
        <v>30</v>
      </c>
      <c r="W15">
        <v>15</v>
      </c>
      <c r="X15">
        <v>15</v>
      </c>
      <c r="Y15">
        <v>5.5833333329999997</v>
      </c>
      <c r="Z15">
        <v>5</v>
      </c>
      <c r="AA15">
        <v>5.8333333329999997</v>
      </c>
      <c r="AB15">
        <v>4.25</v>
      </c>
      <c r="AC15">
        <v>1</v>
      </c>
      <c r="AD15">
        <v>0.83333333300000001</v>
      </c>
      <c r="AE15">
        <v>13</v>
      </c>
      <c r="AF15">
        <v>12</v>
      </c>
      <c r="AG15">
        <v>55</v>
      </c>
      <c r="AH15">
        <v>4</v>
      </c>
      <c r="AI15">
        <v>0</v>
      </c>
      <c r="AJ15">
        <v>5</v>
      </c>
      <c r="AK15">
        <v>5</v>
      </c>
      <c r="AL15">
        <v>12</v>
      </c>
      <c r="AM15">
        <v>8</v>
      </c>
      <c r="AN15">
        <v>23</v>
      </c>
      <c r="AO15">
        <v>53</v>
      </c>
      <c r="AP15">
        <v>30</v>
      </c>
      <c r="AQ15">
        <v>50</v>
      </c>
      <c r="AR15">
        <v>21</v>
      </c>
      <c r="AS15">
        <v>39</v>
      </c>
      <c r="AT15">
        <v>17</v>
      </c>
      <c r="AU15">
        <v>53</v>
      </c>
      <c r="AV15">
        <v>163</v>
      </c>
      <c r="AW15">
        <v>17</v>
      </c>
      <c r="AX15">
        <v>1</v>
      </c>
      <c r="AY15">
        <v>22</v>
      </c>
      <c r="AZ15">
        <v>0</v>
      </c>
      <c r="BA15" s="1" t="s">
        <v>116</v>
      </c>
    </row>
    <row r="16" spans="1:53" x14ac:dyDescent="0.3">
      <c r="A16" s="1" t="s">
        <v>122</v>
      </c>
      <c r="B16">
        <v>52</v>
      </c>
      <c r="C16" s="1" t="s">
        <v>123</v>
      </c>
      <c r="D16">
        <v>3.22076416015625</v>
      </c>
      <c r="E16" s="1" t="s">
        <v>124</v>
      </c>
      <c r="F16" t="s">
        <v>125</v>
      </c>
      <c r="G16">
        <v>2473</v>
      </c>
      <c r="H16">
        <v>52</v>
      </c>
      <c r="I16" t="s">
        <v>58</v>
      </c>
      <c r="J16" t="s">
        <v>59</v>
      </c>
      <c r="K16" t="s">
        <v>60</v>
      </c>
      <c r="L16">
        <v>0</v>
      </c>
      <c r="M16" t="s">
        <v>61</v>
      </c>
      <c r="P16">
        <v>122</v>
      </c>
      <c r="Q16">
        <v>83</v>
      </c>
      <c r="R16">
        <v>58</v>
      </c>
      <c r="S16">
        <v>182.88</v>
      </c>
      <c r="T16">
        <v>77.110699999999994</v>
      </c>
      <c r="U16">
        <v>23.05590742</v>
      </c>
      <c r="V16">
        <v>29</v>
      </c>
      <c r="W16">
        <v>14</v>
      </c>
      <c r="X16">
        <v>14</v>
      </c>
      <c r="Y16">
        <v>5.4166666670000003</v>
      </c>
      <c r="Z16">
        <v>5.4166666670000003</v>
      </c>
      <c r="AA16">
        <v>6</v>
      </c>
      <c r="AB16">
        <v>5.5</v>
      </c>
      <c r="AC16">
        <v>1</v>
      </c>
      <c r="AD16">
        <v>1</v>
      </c>
      <c r="AE16">
        <v>9</v>
      </c>
      <c r="AF16">
        <v>11</v>
      </c>
      <c r="AG16">
        <v>51</v>
      </c>
      <c r="AH16">
        <v>10</v>
      </c>
      <c r="AI16">
        <v>4</v>
      </c>
      <c r="AJ16">
        <v>12</v>
      </c>
      <c r="AK16">
        <v>8</v>
      </c>
      <c r="AL16">
        <v>10</v>
      </c>
      <c r="AM16">
        <v>6</v>
      </c>
      <c r="AN16">
        <v>33</v>
      </c>
      <c r="AO16">
        <v>58</v>
      </c>
      <c r="AP16">
        <v>25</v>
      </c>
      <c r="AQ16">
        <v>52</v>
      </c>
      <c r="AR16">
        <v>16.5</v>
      </c>
      <c r="AS16">
        <v>29</v>
      </c>
      <c r="AT16">
        <v>17</v>
      </c>
      <c r="AU16">
        <v>177</v>
      </c>
      <c r="AV16">
        <v>137</v>
      </c>
      <c r="AW16">
        <v>20</v>
      </c>
      <c r="AX16">
        <v>5</v>
      </c>
      <c r="AY16">
        <v>16</v>
      </c>
      <c r="AZ16">
        <v>5</v>
      </c>
      <c r="BA16" s="1" t="s">
        <v>122</v>
      </c>
    </row>
    <row r="17" spans="1:53" x14ac:dyDescent="0.3">
      <c r="A17" s="1" t="s">
        <v>126</v>
      </c>
      <c r="B17">
        <v>38</v>
      </c>
      <c r="C17" s="1" t="s">
        <v>127</v>
      </c>
      <c r="D17" s="1" t="s">
        <v>128</v>
      </c>
      <c r="E17" s="1" t="s">
        <v>129</v>
      </c>
      <c r="F17" t="s">
        <v>130</v>
      </c>
      <c r="G17">
        <v>2491</v>
      </c>
      <c r="H17">
        <v>38</v>
      </c>
      <c r="I17" t="s">
        <v>68</v>
      </c>
      <c r="J17" t="s">
        <v>59</v>
      </c>
      <c r="K17" t="s">
        <v>76</v>
      </c>
      <c r="L17">
        <v>1</v>
      </c>
      <c r="M17" t="s">
        <v>61</v>
      </c>
      <c r="P17">
        <v>157</v>
      </c>
      <c r="Q17">
        <v>92</v>
      </c>
      <c r="R17">
        <v>54</v>
      </c>
      <c r="S17">
        <v>172.72</v>
      </c>
      <c r="T17">
        <v>77.110699999999994</v>
      </c>
      <c r="U17">
        <v>25.848145339999999</v>
      </c>
      <c r="V17">
        <v>28</v>
      </c>
      <c r="W17">
        <v>16</v>
      </c>
      <c r="X17">
        <v>15</v>
      </c>
      <c r="Y17">
        <v>4.75</v>
      </c>
      <c r="Z17">
        <v>6</v>
      </c>
      <c r="AA17">
        <v>6.5833333329999997</v>
      </c>
      <c r="AB17">
        <v>4.9166666670000003</v>
      </c>
      <c r="AC17">
        <v>1</v>
      </c>
      <c r="AD17">
        <v>1</v>
      </c>
      <c r="AE17">
        <v>12</v>
      </c>
      <c r="AF17">
        <v>14</v>
      </c>
      <c r="AG17">
        <v>56</v>
      </c>
      <c r="AH17">
        <v>8</v>
      </c>
      <c r="AI17">
        <v>1</v>
      </c>
      <c r="AJ17">
        <v>11</v>
      </c>
      <c r="AK17">
        <v>8</v>
      </c>
      <c r="AL17">
        <v>11</v>
      </c>
      <c r="AM17">
        <v>7</v>
      </c>
      <c r="AN17">
        <v>19</v>
      </c>
      <c r="AO17">
        <v>39</v>
      </c>
      <c r="AP17">
        <v>20</v>
      </c>
      <c r="AQ17">
        <v>67</v>
      </c>
      <c r="AR17">
        <v>17.5</v>
      </c>
      <c r="AS17">
        <v>35</v>
      </c>
      <c r="AT17">
        <v>17</v>
      </c>
      <c r="AU17">
        <v>30</v>
      </c>
      <c r="AV17">
        <v>87</v>
      </c>
      <c r="AW17">
        <v>24</v>
      </c>
      <c r="AX17">
        <v>2</v>
      </c>
      <c r="AY17">
        <v>22</v>
      </c>
      <c r="AZ17">
        <v>4</v>
      </c>
      <c r="BA17" s="1" t="s">
        <v>126</v>
      </c>
    </row>
    <row r="18" spans="1:53" x14ac:dyDescent="0.3">
      <c r="A18" s="1" t="s">
        <v>131</v>
      </c>
      <c r="B18">
        <v>38</v>
      </c>
      <c r="C18" s="1" t="s">
        <v>132</v>
      </c>
      <c r="D18" s="1" t="s">
        <v>133</v>
      </c>
      <c r="E18" s="1" t="s">
        <v>134</v>
      </c>
      <c r="F18" t="s">
        <v>135</v>
      </c>
      <c r="G18">
        <v>2506</v>
      </c>
      <c r="H18">
        <v>38</v>
      </c>
      <c r="I18" t="s">
        <v>58</v>
      </c>
      <c r="J18" t="s">
        <v>69</v>
      </c>
      <c r="K18" t="s">
        <v>76</v>
      </c>
      <c r="L18">
        <v>1</v>
      </c>
      <c r="M18" t="s">
        <v>61</v>
      </c>
      <c r="N18" t="s">
        <v>112</v>
      </c>
      <c r="O18">
        <v>4</v>
      </c>
      <c r="P18">
        <v>120</v>
      </c>
      <c r="Q18">
        <v>82</v>
      </c>
      <c r="R18">
        <v>70</v>
      </c>
      <c r="S18">
        <v>172.72</v>
      </c>
      <c r="T18">
        <v>74.842699999999994</v>
      </c>
      <c r="U18">
        <v>25.087892950000001</v>
      </c>
      <c r="V18">
        <v>30</v>
      </c>
      <c r="W18">
        <v>16</v>
      </c>
      <c r="X18">
        <v>16</v>
      </c>
      <c r="Y18">
        <v>4.75</v>
      </c>
      <c r="Z18">
        <v>4.9166666670000003</v>
      </c>
      <c r="AA18">
        <v>5.0833333329999997</v>
      </c>
      <c r="AB18">
        <v>4.25</v>
      </c>
      <c r="AC18">
        <v>0.33</v>
      </c>
      <c r="AD18">
        <v>0.33333333300000001</v>
      </c>
      <c r="AE18">
        <v>12</v>
      </c>
      <c r="AF18">
        <v>13</v>
      </c>
      <c r="AG18">
        <v>54</v>
      </c>
      <c r="AH18">
        <v>10</v>
      </c>
      <c r="AI18">
        <v>2</v>
      </c>
      <c r="AJ18">
        <v>10</v>
      </c>
      <c r="AK18">
        <v>8</v>
      </c>
      <c r="AL18">
        <v>10</v>
      </c>
      <c r="AM18">
        <v>7</v>
      </c>
      <c r="AN18">
        <v>17</v>
      </c>
      <c r="AO18">
        <v>38</v>
      </c>
      <c r="AP18">
        <v>21</v>
      </c>
      <c r="AQ18">
        <v>79</v>
      </c>
      <c r="AR18">
        <v>21.5</v>
      </c>
      <c r="AS18">
        <v>41</v>
      </c>
      <c r="AT18">
        <v>17</v>
      </c>
      <c r="AU18">
        <v>37</v>
      </c>
      <c r="AV18">
        <v>67</v>
      </c>
      <c r="AW18">
        <v>14</v>
      </c>
      <c r="AX18">
        <v>2</v>
      </c>
      <c r="AY18">
        <v>17</v>
      </c>
      <c r="AZ18">
        <v>2</v>
      </c>
      <c r="BA18" s="1" t="s">
        <v>131</v>
      </c>
    </row>
    <row r="19" spans="1:53" x14ac:dyDescent="0.3">
      <c r="A19" s="1" t="s">
        <v>136</v>
      </c>
      <c r="B19">
        <v>61</v>
      </c>
      <c r="C19" s="1" t="s">
        <v>137</v>
      </c>
      <c r="D19">
        <v>-3.0263137817382799</v>
      </c>
      <c r="E19">
        <v>-4.3435415357743601</v>
      </c>
      <c r="F19" t="s">
        <v>138</v>
      </c>
      <c r="G19">
        <v>2524</v>
      </c>
      <c r="H19">
        <v>61</v>
      </c>
      <c r="I19" t="s">
        <v>58</v>
      </c>
      <c r="J19" t="s">
        <v>69</v>
      </c>
      <c r="K19" t="s">
        <v>76</v>
      </c>
      <c r="L19">
        <v>1</v>
      </c>
      <c r="M19" t="s">
        <v>61</v>
      </c>
      <c r="P19">
        <v>150</v>
      </c>
      <c r="Q19">
        <v>80</v>
      </c>
      <c r="R19">
        <v>82</v>
      </c>
      <c r="S19">
        <v>167.64</v>
      </c>
      <c r="T19">
        <v>72.574799999999996</v>
      </c>
      <c r="U19">
        <v>25.824418040000001</v>
      </c>
      <c r="V19">
        <v>30</v>
      </c>
      <c r="W19">
        <v>15</v>
      </c>
      <c r="X19">
        <v>16</v>
      </c>
      <c r="Y19">
        <v>5.4166666670000003</v>
      </c>
      <c r="Z19">
        <v>6.3333333329999997</v>
      </c>
      <c r="AA19">
        <v>6</v>
      </c>
      <c r="AB19">
        <v>6.5</v>
      </c>
      <c r="AC19">
        <v>1</v>
      </c>
      <c r="AD19">
        <v>0.83333333300000001</v>
      </c>
      <c r="AE19">
        <v>13</v>
      </c>
      <c r="AF19">
        <v>12</v>
      </c>
      <c r="AG19">
        <v>43</v>
      </c>
      <c r="AH19">
        <v>9</v>
      </c>
      <c r="AI19">
        <v>2</v>
      </c>
      <c r="AJ19">
        <v>7</v>
      </c>
      <c r="AK19">
        <v>6</v>
      </c>
      <c r="AL19">
        <v>6</v>
      </c>
      <c r="AM19">
        <v>5</v>
      </c>
      <c r="AN19">
        <v>20</v>
      </c>
      <c r="AO19">
        <v>64</v>
      </c>
      <c r="AP19">
        <v>44</v>
      </c>
      <c r="AQ19">
        <v>59</v>
      </c>
      <c r="AR19">
        <v>22</v>
      </c>
      <c r="AS19">
        <v>39</v>
      </c>
      <c r="AT19">
        <v>17</v>
      </c>
      <c r="AU19">
        <v>50</v>
      </c>
      <c r="AV19">
        <v>107</v>
      </c>
      <c r="AW19">
        <v>8</v>
      </c>
      <c r="AX19">
        <v>2</v>
      </c>
      <c r="AY19">
        <v>5</v>
      </c>
      <c r="AZ19">
        <v>4</v>
      </c>
      <c r="BA19" s="1" t="s">
        <v>136</v>
      </c>
    </row>
    <row r="20" spans="1:53" x14ac:dyDescent="0.3">
      <c r="A20" s="1" t="s">
        <v>139</v>
      </c>
      <c r="B20">
        <v>76</v>
      </c>
      <c r="C20" s="1" t="s">
        <v>140</v>
      </c>
      <c r="D20" s="1" t="s">
        <v>141</v>
      </c>
      <c r="E20" s="1" t="s">
        <v>142</v>
      </c>
      <c r="F20" t="s">
        <v>143</v>
      </c>
      <c r="G20">
        <v>2535</v>
      </c>
      <c r="H20">
        <v>76</v>
      </c>
      <c r="I20" t="s">
        <v>58</v>
      </c>
      <c r="J20" t="s">
        <v>59</v>
      </c>
      <c r="K20" t="s">
        <v>60</v>
      </c>
      <c r="L20">
        <v>0</v>
      </c>
      <c r="M20" t="s">
        <v>61</v>
      </c>
      <c r="P20">
        <v>120</v>
      </c>
      <c r="Q20">
        <v>72</v>
      </c>
      <c r="R20">
        <v>65</v>
      </c>
      <c r="S20">
        <v>175.26</v>
      </c>
      <c r="T20">
        <v>65.770899999999997</v>
      </c>
      <c r="U20">
        <v>21.412539150000001</v>
      </c>
      <c r="V20">
        <v>23</v>
      </c>
      <c r="W20">
        <v>15</v>
      </c>
      <c r="X20">
        <v>15</v>
      </c>
      <c r="Y20">
        <v>6.1666666670000003</v>
      </c>
      <c r="Z20">
        <v>3.4166666669999999</v>
      </c>
      <c r="AA20">
        <v>5.3333333329999997</v>
      </c>
      <c r="AB20">
        <v>5.75</v>
      </c>
      <c r="AC20">
        <v>1</v>
      </c>
      <c r="AD20">
        <v>0.66666666699999999</v>
      </c>
      <c r="AE20">
        <v>12</v>
      </c>
      <c r="AF20">
        <v>11</v>
      </c>
      <c r="AG20">
        <v>51</v>
      </c>
      <c r="AH20">
        <v>6</v>
      </c>
      <c r="AI20">
        <v>1</v>
      </c>
      <c r="AJ20">
        <v>9</v>
      </c>
      <c r="AK20">
        <v>7</v>
      </c>
      <c r="AL20">
        <v>7</v>
      </c>
      <c r="AM20">
        <v>5</v>
      </c>
      <c r="AN20">
        <v>22</v>
      </c>
      <c r="AO20">
        <v>52</v>
      </c>
      <c r="AP20">
        <v>30</v>
      </c>
      <c r="AQ20">
        <v>58</v>
      </c>
      <c r="AR20">
        <v>21.75</v>
      </c>
      <c r="AS20">
        <v>35</v>
      </c>
      <c r="AT20">
        <v>17</v>
      </c>
      <c r="AU20">
        <v>107</v>
      </c>
      <c r="AV20">
        <v>233</v>
      </c>
      <c r="AW20">
        <v>17</v>
      </c>
      <c r="AX20">
        <v>0</v>
      </c>
      <c r="AY20">
        <v>23</v>
      </c>
      <c r="AZ20">
        <v>0</v>
      </c>
      <c r="BA20" s="1" t="s">
        <v>139</v>
      </c>
    </row>
    <row r="21" spans="1:53" x14ac:dyDescent="0.3">
      <c r="A21" s="1" t="s">
        <v>144</v>
      </c>
      <c r="B21">
        <v>56</v>
      </c>
      <c r="C21" s="1" t="s">
        <v>145</v>
      </c>
      <c r="D21">
        <v>-5.9418678283691397</v>
      </c>
      <c r="E21">
        <v>-7.66284111929175</v>
      </c>
      <c r="F21" t="s">
        <v>146</v>
      </c>
      <c r="G21">
        <v>2654</v>
      </c>
      <c r="H21">
        <v>56</v>
      </c>
      <c r="I21" t="s">
        <v>68</v>
      </c>
      <c r="J21" t="s">
        <v>59</v>
      </c>
      <c r="K21" t="s">
        <v>76</v>
      </c>
      <c r="L21">
        <v>1</v>
      </c>
      <c r="M21" t="s">
        <v>61</v>
      </c>
      <c r="N21" t="s">
        <v>147</v>
      </c>
      <c r="O21">
        <v>1</v>
      </c>
      <c r="P21">
        <v>135</v>
      </c>
      <c r="Q21">
        <v>76</v>
      </c>
      <c r="R21">
        <v>57</v>
      </c>
      <c r="S21">
        <v>172.72</v>
      </c>
      <c r="T21">
        <v>74.842699999999994</v>
      </c>
      <c r="U21">
        <v>25.087892950000001</v>
      </c>
      <c r="V21">
        <v>25</v>
      </c>
      <c r="W21">
        <v>14</v>
      </c>
      <c r="X21">
        <v>11</v>
      </c>
      <c r="Y21">
        <v>4.25</v>
      </c>
      <c r="Z21">
        <v>4.0833333329999997</v>
      </c>
      <c r="AA21">
        <v>4.8333333329999997</v>
      </c>
      <c r="AB21">
        <v>2.8333333330000001</v>
      </c>
      <c r="AC21">
        <v>0.67</v>
      </c>
      <c r="AD21">
        <v>0.5</v>
      </c>
      <c r="AE21">
        <v>12</v>
      </c>
      <c r="AF21">
        <v>6</v>
      </c>
      <c r="AG21">
        <v>44</v>
      </c>
      <c r="AH21">
        <v>8</v>
      </c>
      <c r="AI21">
        <v>6</v>
      </c>
      <c r="AJ21">
        <v>9</v>
      </c>
      <c r="AK21">
        <v>8</v>
      </c>
      <c r="AL21">
        <v>5</v>
      </c>
      <c r="AM21">
        <v>4</v>
      </c>
      <c r="AN21">
        <v>37</v>
      </c>
      <c r="AO21">
        <v>112</v>
      </c>
      <c r="AP21">
        <v>75</v>
      </c>
      <c r="AQ21">
        <v>51</v>
      </c>
      <c r="AR21">
        <v>18.25</v>
      </c>
      <c r="AS21">
        <v>32</v>
      </c>
      <c r="AT21">
        <v>17</v>
      </c>
      <c r="AU21">
        <v>83</v>
      </c>
      <c r="AV21">
        <v>180</v>
      </c>
      <c r="AW21">
        <v>15</v>
      </c>
      <c r="AX21">
        <v>3</v>
      </c>
      <c r="AY21">
        <v>26</v>
      </c>
      <c r="AZ21">
        <v>1</v>
      </c>
      <c r="BA21" s="1" t="s">
        <v>144</v>
      </c>
    </row>
    <row r="22" spans="1:53" x14ac:dyDescent="0.3">
      <c r="A22" s="1" t="s">
        <v>148</v>
      </c>
      <c r="B22">
        <v>50</v>
      </c>
      <c r="C22">
        <v>57.490367889404297</v>
      </c>
      <c r="D22" s="1" t="s">
        <v>149</v>
      </c>
      <c r="E22" s="1" t="s">
        <v>150</v>
      </c>
      <c r="F22" t="s">
        <v>151</v>
      </c>
      <c r="G22">
        <v>2666</v>
      </c>
      <c r="H22">
        <v>50</v>
      </c>
      <c r="I22" t="s">
        <v>68</v>
      </c>
      <c r="J22" t="s">
        <v>59</v>
      </c>
      <c r="K22" t="s">
        <v>76</v>
      </c>
      <c r="L22">
        <v>1</v>
      </c>
      <c r="M22" t="s">
        <v>61</v>
      </c>
      <c r="P22">
        <v>148</v>
      </c>
      <c r="Q22">
        <v>99</v>
      </c>
      <c r="R22">
        <v>56</v>
      </c>
      <c r="S22">
        <v>167.64</v>
      </c>
      <c r="T22">
        <v>68.038899999999998</v>
      </c>
      <c r="U22">
        <v>24.210400809999999</v>
      </c>
      <c r="V22">
        <v>30</v>
      </c>
      <c r="W22">
        <v>15</v>
      </c>
      <c r="X22">
        <v>12</v>
      </c>
      <c r="Y22">
        <v>5.5</v>
      </c>
      <c r="Z22">
        <v>5.6666666670000003</v>
      </c>
      <c r="AA22">
        <v>5.5833333329999997</v>
      </c>
      <c r="AB22">
        <v>5.0833333329999997</v>
      </c>
      <c r="AC22">
        <v>1</v>
      </c>
      <c r="AD22">
        <v>0.66666666699999999</v>
      </c>
      <c r="AE22">
        <v>9</v>
      </c>
      <c r="AF22">
        <v>11</v>
      </c>
      <c r="AG22">
        <v>57</v>
      </c>
      <c r="AH22">
        <v>6</v>
      </c>
      <c r="AI22">
        <v>3</v>
      </c>
      <c r="AJ22">
        <v>12</v>
      </c>
      <c r="AK22">
        <v>8</v>
      </c>
      <c r="AL22">
        <v>11</v>
      </c>
      <c r="AM22">
        <v>7</v>
      </c>
      <c r="AN22">
        <v>35</v>
      </c>
      <c r="AO22">
        <v>52</v>
      </c>
      <c r="AP22">
        <v>17</v>
      </c>
      <c r="AQ22">
        <v>62</v>
      </c>
      <c r="AR22">
        <v>17</v>
      </c>
      <c r="AS22">
        <v>34</v>
      </c>
      <c r="AT22">
        <v>17</v>
      </c>
      <c r="AU22">
        <v>48</v>
      </c>
      <c r="AV22">
        <v>80</v>
      </c>
      <c r="AW22">
        <v>13</v>
      </c>
      <c r="AX22">
        <v>2</v>
      </c>
      <c r="AY22">
        <v>5</v>
      </c>
      <c r="AZ22">
        <v>2</v>
      </c>
      <c r="BA22" s="1" t="s">
        <v>148</v>
      </c>
    </row>
    <row r="23" spans="1:53" x14ac:dyDescent="0.3">
      <c r="A23" s="1" t="s">
        <v>152</v>
      </c>
      <c r="B23">
        <v>65</v>
      </c>
      <c r="C23" s="1" t="s">
        <v>153</v>
      </c>
      <c r="D23" s="1" t="s">
        <v>154</v>
      </c>
      <c r="E23">
        <v>6.0098275133637697</v>
      </c>
      <c r="F23" t="s">
        <v>155</v>
      </c>
      <c r="G23">
        <v>2670</v>
      </c>
      <c r="H23">
        <v>65</v>
      </c>
      <c r="I23" t="s">
        <v>83</v>
      </c>
      <c r="J23" t="s">
        <v>59</v>
      </c>
      <c r="K23" t="s">
        <v>156</v>
      </c>
      <c r="L23">
        <v>2</v>
      </c>
      <c r="M23" t="s">
        <v>61</v>
      </c>
      <c r="N23" t="s">
        <v>157</v>
      </c>
      <c r="O23">
        <v>3</v>
      </c>
      <c r="P23">
        <v>171</v>
      </c>
      <c r="Q23">
        <v>102</v>
      </c>
      <c r="R23">
        <v>50</v>
      </c>
      <c r="S23">
        <v>177.8</v>
      </c>
      <c r="T23">
        <v>74.842699999999994</v>
      </c>
      <c r="U23">
        <v>23.674778979999999</v>
      </c>
      <c r="V23">
        <v>20</v>
      </c>
      <c r="W23">
        <v>13</v>
      </c>
      <c r="X23">
        <v>1</v>
      </c>
      <c r="Y23">
        <v>5.0833333329999997</v>
      </c>
      <c r="Z23">
        <v>4.4166666670000003</v>
      </c>
      <c r="AA23">
        <v>4.0833333329999997</v>
      </c>
      <c r="AB23">
        <v>2.4166666669999999</v>
      </c>
      <c r="AC23">
        <v>1</v>
      </c>
      <c r="AD23">
        <v>1</v>
      </c>
      <c r="AE23">
        <v>2</v>
      </c>
      <c r="AF23">
        <v>0</v>
      </c>
      <c r="AG23">
        <v>30</v>
      </c>
      <c r="AH23">
        <v>2</v>
      </c>
      <c r="AI23">
        <v>6</v>
      </c>
      <c r="AJ23">
        <v>12</v>
      </c>
      <c r="AK23">
        <v>9</v>
      </c>
      <c r="AL23">
        <v>8</v>
      </c>
      <c r="AM23">
        <v>6</v>
      </c>
      <c r="AN23">
        <v>30</v>
      </c>
      <c r="AO23">
        <v>85</v>
      </c>
      <c r="AP23">
        <v>55</v>
      </c>
      <c r="AQ23">
        <v>38</v>
      </c>
      <c r="AR23">
        <v>21</v>
      </c>
      <c r="AS23">
        <v>39</v>
      </c>
      <c r="AT23">
        <v>17</v>
      </c>
      <c r="AU23">
        <v>163</v>
      </c>
      <c r="AV23">
        <v>213</v>
      </c>
      <c r="AW23">
        <v>13</v>
      </c>
      <c r="AX23">
        <v>3</v>
      </c>
      <c r="AY23">
        <v>11</v>
      </c>
      <c r="AZ23">
        <v>3</v>
      </c>
      <c r="BA23" s="1" t="s">
        <v>152</v>
      </c>
    </row>
    <row r="24" spans="1:53" x14ac:dyDescent="0.3">
      <c r="A24" s="1" t="s">
        <v>158</v>
      </c>
      <c r="B24">
        <v>58</v>
      </c>
      <c r="C24" s="1" t="s">
        <v>159</v>
      </c>
      <c r="D24">
        <v>-8.7674331665038991</v>
      </c>
      <c r="E24">
        <v>-10.3269082426719</v>
      </c>
      <c r="F24" t="s">
        <v>160</v>
      </c>
      <c r="G24">
        <v>2690</v>
      </c>
      <c r="H24">
        <v>58</v>
      </c>
      <c r="I24" t="s">
        <v>68</v>
      </c>
      <c r="J24" t="s">
        <v>59</v>
      </c>
      <c r="K24" t="s">
        <v>76</v>
      </c>
      <c r="L24">
        <v>1</v>
      </c>
      <c r="M24" t="s">
        <v>70</v>
      </c>
      <c r="P24">
        <v>130</v>
      </c>
      <c r="Q24">
        <v>82</v>
      </c>
      <c r="R24">
        <v>62</v>
      </c>
      <c r="S24">
        <v>187.96</v>
      </c>
      <c r="T24">
        <v>86.182599999999994</v>
      </c>
      <c r="U24">
        <v>24.394320149999999</v>
      </c>
      <c r="V24">
        <v>28</v>
      </c>
      <c r="W24">
        <v>13</v>
      </c>
      <c r="X24">
        <v>10</v>
      </c>
      <c r="Y24">
        <v>5.3333333329999997</v>
      </c>
      <c r="Z24">
        <v>5.6666666670000003</v>
      </c>
      <c r="AA24">
        <v>5</v>
      </c>
      <c r="AB24">
        <v>5.0833333329999997</v>
      </c>
      <c r="AC24">
        <v>1</v>
      </c>
      <c r="AD24">
        <v>0.83333333300000001</v>
      </c>
      <c r="AE24">
        <v>7</v>
      </c>
      <c r="AF24">
        <v>5</v>
      </c>
      <c r="AG24">
        <v>46</v>
      </c>
      <c r="AH24">
        <v>4</v>
      </c>
      <c r="AI24">
        <v>6</v>
      </c>
      <c r="AJ24">
        <v>14</v>
      </c>
      <c r="AK24">
        <v>9</v>
      </c>
      <c r="AL24">
        <v>7</v>
      </c>
      <c r="AM24">
        <v>6</v>
      </c>
      <c r="AN24">
        <v>43</v>
      </c>
      <c r="AO24">
        <v>66</v>
      </c>
      <c r="AP24">
        <v>23</v>
      </c>
      <c r="AQ24">
        <v>48</v>
      </c>
      <c r="AR24">
        <v>17</v>
      </c>
      <c r="AS24">
        <v>27</v>
      </c>
      <c r="AT24">
        <v>17</v>
      </c>
      <c r="AU24">
        <v>57</v>
      </c>
      <c r="AV24">
        <v>117</v>
      </c>
      <c r="AW24">
        <v>20</v>
      </c>
      <c r="AX24">
        <v>3</v>
      </c>
      <c r="AY24">
        <v>20</v>
      </c>
      <c r="AZ24">
        <v>2</v>
      </c>
      <c r="BA24" s="1" t="s">
        <v>158</v>
      </c>
    </row>
    <row r="25" spans="1:53" x14ac:dyDescent="0.3">
      <c r="A25" s="1" t="s">
        <v>161</v>
      </c>
      <c r="B25">
        <v>31</v>
      </c>
      <c r="C25" s="1" t="s">
        <v>162</v>
      </c>
      <c r="D25" s="1" t="s">
        <v>163</v>
      </c>
      <c r="E25" s="1" t="s">
        <v>164</v>
      </c>
      <c r="F25" t="s">
        <v>165</v>
      </c>
      <c r="G25">
        <v>2695</v>
      </c>
      <c r="H25">
        <v>31</v>
      </c>
      <c r="I25" t="s">
        <v>83</v>
      </c>
      <c r="J25" t="s">
        <v>69</v>
      </c>
      <c r="K25" t="s">
        <v>76</v>
      </c>
      <c r="L25">
        <v>1</v>
      </c>
      <c r="M25" t="s">
        <v>61</v>
      </c>
      <c r="P25">
        <v>148</v>
      </c>
      <c r="Q25">
        <v>82</v>
      </c>
      <c r="R25">
        <v>67</v>
      </c>
      <c r="S25">
        <v>170.18</v>
      </c>
      <c r="T25">
        <v>73.935599999999994</v>
      </c>
      <c r="U25">
        <v>25.52916222</v>
      </c>
      <c r="V25">
        <v>27</v>
      </c>
      <c r="W25">
        <v>15</v>
      </c>
      <c r="X25">
        <v>14</v>
      </c>
      <c r="Y25">
        <v>5.4166666670000003</v>
      </c>
      <c r="Z25">
        <v>3.5833333330000001</v>
      </c>
      <c r="AA25">
        <v>6</v>
      </c>
      <c r="AB25">
        <v>5.5833333329999997</v>
      </c>
      <c r="AC25">
        <v>1</v>
      </c>
      <c r="AD25">
        <v>1</v>
      </c>
      <c r="AE25">
        <v>11</v>
      </c>
      <c r="AF25">
        <v>10</v>
      </c>
      <c r="AG25">
        <v>53</v>
      </c>
      <c r="AH25">
        <v>9</v>
      </c>
      <c r="AI25">
        <v>4</v>
      </c>
      <c r="AJ25">
        <v>7</v>
      </c>
      <c r="AK25">
        <v>6</v>
      </c>
      <c r="AL25">
        <v>9</v>
      </c>
      <c r="AM25">
        <v>6</v>
      </c>
      <c r="AN25">
        <v>33</v>
      </c>
      <c r="AO25">
        <v>96</v>
      </c>
      <c r="AP25">
        <v>63</v>
      </c>
      <c r="AQ25">
        <v>46</v>
      </c>
      <c r="AR25">
        <v>17.25</v>
      </c>
      <c r="AS25">
        <v>29</v>
      </c>
      <c r="AT25">
        <v>17</v>
      </c>
      <c r="AU25">
        <v>57</v>
      </c>
      <c r="AV25">
        <v>147</v>
      </c>
      <c r="AW25">
        <v>32</v>
      </c>
      <c r="AX25">
        <v>3</v>
      </c>
      <c r="AY25">
        <v>27</v>
      </c>
      <c r="AZ25">
        <v>1</v>
      </c>
      <c r="BA25" s="1" t="s">
        <v>161</v>
      </c>
    </row>
    <row r="26" spans="1:53" x14ac:dyDescent="0.3">
      <c r="A26" s="1" t="s">
        <v>166</v>
      </c>
      <c r="B26">
        <v>44</v>
      </c>
      <c r="C26">
        <v>45.266101837158203</v>
      </c>
      <c r="D26" s="1" t="s">
        <v>167</v>
      </c>
      <c r="E26">
        <v>-1.4238607422920699</v>
      </c>
      <c r="F26" t="s">
        <v>168</v>
      </c>
      <c r="G26">
        <v>2715</v>
      </c>
      <c r="H26">
        <v>44</v>
      </c>
      <c r="I26" t="s">
        <v>68</v>
      </c>
      <c r="J26" t="s">
        <v>69</v>
      </c>
      <c r="K26" t="s">
        <v>76</v>
      </c>
      <c r="L26">
        <v>1</v>
      </c>
      <c r="M26" t="s">
        <v>61</v>
      </c>
      <c r="P26">
        <v>107</v>
      </c>
      <c r="Q26">
        <v>78</v>
      </c>
      <c r="R26">
        <v>63</v>
      </c>
      <c r="S26">
        <v>154.94</v>
      </c>
      <c r="T26">
        <v>52.1631</v>
      </c>
      <c r="U26">
        <v>21.728827389999999</v>
      </c>
      <c r="V26">
        <v>30</v>
      </c>
      <c r="W26">
        <v>14</v>
      </c>
      <c r="X26">
        <v>16</v>
      </c>
      <c r="Y26">
        <v>6.0833333329999997</v>
      </c>
      <c r="Z26">
        <v>5.5833333329999997</v>
      </c>
      <c r="AA26">
        <v>6.0833333329999997</v>
      </c>
      <c r="AB26">
        <v>5.5</v>
      </c>
      <c r="AC26">
        <v>1</v>
      </c>
      <c r="AD26">
        <v>0.83333333300000001</v>
      </c>
      <c r="AE26">
        <v>15</v>
      </c>
      <c r="AF26">
        <v>15</v>
      </c>
      <c r="AG26">
        <v>69</v>
      </c>
      <c r="AH26">
        <v>5</v>
      </c>
      <c r="AI26">
        <v>0</v>
      </c>
      <c r="AJ26">
        <v>14</v>
      </c>
      <c r="AK26">
        <v>9</v>
      </c>
      <c r="AL26">
        <v>12</v>
      </c>
      <c r="AM26">
        <v>8</v>
      </c>
      <c r="AN26">
        <v>27</v>
      </c>
      <c r="AO26">
        <v>56</v>
      </c>
      <c r="AP26">
        <v>29</v>
      </c>
      <c r="AQ26">
        <v>47</v>
      </c>
      <c r="AR26">
        <v>13.5</v>
      </c>
      <c r="AS26">
        <v>25</v>
      </c>
      <c r="AT26">
        <v>17</v>
      </c>
      <c r="AU26">
        <v>93</v>
      </c>
      <c r="AV26">
        <v>93</v>
      </c>
      <c r="AW26">
        <v>25</v>
      </c>
      <c r="AX26">
        <v>3</v>
      </c>
      <c r="AY26">
        <v>25</v>
      </c>
      <c r="AZ26">
        <v>5</v>
      </c>
      <c r="BA26" s="1" t="s">
        <v>166</v>
      </c>
    </row>
    <row r="27" spans="1:53" x14ac:dyDescent="0.3">
      <c r="A27" s="1" t="s">
        <v>169</v>
      </c>
      <c r="B27">
        <v>70</v>
      </c>
      <c r="C27" s="1" t="s">
        <v>170</v>
      </c>
      <c r="D27">
        <v>-2.2881011962890598</v>
      </c>
      <c r="E27">
        <v>-2.8785869839293801</v>
      </c>
      <c r="F27" t="s">
        <v>171</v>
      </c>
      <c r="G27">
        <v>2720</v>
      </c>
      <c r="H27">
        <v>70</v>
      </c>
      <c r="I27" t="s">
        <v>93</v>
      </c>
      <c r="J27" t="s">
        <v>69</v>
      </c>
      <c r="K27" t="s">
        <v>76</v>
      </c>
      <c r="L27">
        <v>1</v>
      </c>
      <c r="M27" t="s">
        <v>61</v>
      </c>
      <c r="P27">
        <v>162</v>
      </c>
      <c r="Q27">
        <v>87</v>
      </c>
      <c r="R27">
        <v>73</v>
      </c>
      <c r="S27">
        <v>165.1</v>
      </c>
      <c r="T27">
        <v>63.956499999999998</v>
      </c>
      <c r="U27">
        <v>23.463378290000001</v>
      </c>
      <c r="V27">
        <v>29</v>
      </c>
      <c r="W27">
        <v>15</v>
      </c>
      <c r="X27">
        <v>15</v>
      </c>
      <c r="Y27">
        <v>6.5833333329999997</v>
      </c>
      <c r="Z27">
        <v>6.5</v>
      </c>
      <c r="AA27">
        <v>6.25</v>
      </c>
      <c r="AB27">
        <v>5.3333333329999997</v>
      </c>
      <c r="AC27">
        <v>1</v>
      </c>
      <c r="AD27">
        <v>0.66666666699999999</v>
      </c>
      <c r="AE27">
        <v>12</v>
      </c>
      <c r="AF27">
        <v>13</v>
      </c>
      <c r="AG27">
        <v>47</v>
      </c>
      <c r="AH27">
        <v>9</v>
      </c>
      <c r="AI27">
        <v>0</v>
      </c>
      <c r="AJ27">
        <v>6</v>
      </c>
      <c r="AK27">
        <v>6</v>
      </c>
      <c r="AL27">
        <v>6</v>
      </c>
      <c r="AM27">
        <v>5</v>
      </c>
      <c r="AN27">
        <v>29</v>
      </c>
      <c r="AO27">
        <v>62</v>
      </c>
      <c r="AP27">
        <v>33</v>
      </c>
      <c r="AQ27">
        <v>54</v>
      </c>
      <c r="AR27">
        <v>21.25</v>
      </c>
      <c r="AS27">
        <v>44</v>
      </c>
      <c r="AT27">
        <v>17</v>
      </c>
      <c r="AU27">
        <v>143</v>
      </c>
      <c r="AV27">
        <v>250</v>
      </c>
      <c r="AW27">
        <v>30</v>
      </c>
      <c r="AX27">
        <v>2</v>
      </c>
      <c r="AY27">
        <v>26</v>
      </c>
      <c r="AZ27">
        <v>2</v>
      </c>
      <c r="BA27" s="1" t="s">
        <v>169</v>
      </c>
    </row>
    <row r="28" spans="1:53" x14ac:dyDescent="0.3">
      <c r="A28" s="1" t="s">
        <v>172</v>
      </c>
      <c r="B28">
        <v>34</v>
      </c>
      <c r="C28" s="1" t="s">
        <v>173</v>
      </c>
      <c r="D28" s="1" t="s">
        <v>174</v>
      </c>
      <c r="E28" s="1" t="s">
        <v>175</v>
      </c>
      <c r="F28" t="s">
        <v>176</v>
      </c>
      <c r="G28">
        <v>2737</v>
      </c>
      <c r="H28">
        <v>34</v>
      </c>
      <c r="I28" t="s">
        <v>68</v>
      </c>
      <c r="J28" t="s">
        <v>69</v>
      </c>
      <c r="K28" t="s">
        <v>76</v>
      </c>
      <c r="L28">
        <v>1</v>
      </c>
      <c r="M28" t="s">
        <v>61</v>
      </c>
      <c r="N28" t="s">
        <v>157</v>
      </c>
      <c r="O28">
        <v>3</v>
      </c>
      <c r="P28">
        <v>149</v>
      </c>
      <c r="Q28">
        <v>78</v>
      </c>
      <c r="R28">
        <v>68</v>
      </c>
      <c r="S28">
        <v>165.1</v>
      </c>
      <c r="T28">
        <v>83.007400000000004</v>
      </c>
      <c r="U28">
        <v>30.452479839999999</v>
      </c>
      <c r="V28">
        <v>30</v>
      </c>
      <c r="W28">
        <v>16</v>
      </c>
      <c r="X28">
        <v>13</v>
      </c>
      <c r="Y28">
        <v>5.75</v>
      </c>
      <c r="Z28">
        <v>5.5</v>
      </c>
      <c r="AA28">
        <v>5.25</v>
      </c>
      <c r="AB28">
        <v>4.5</v>
      </c>
      <c r="AC28">
        <v>1</v>
      </c>
      <c r="AD28">
        <v>0.83333333300000001</v>
      </c>
      <c r="AE28">
        <v>11</v>
      </c>
      <c r="AF28">
        <v>11</v>
      </c>
      <c r="AG28">
        <v>56</v>
      </c>
      <c r="AH28">
        <v>7</v>
      </c>
      <c r="AI28">
        <v>2</v>
      </c>
      <c r="AJ28">
        <v>12</v>
      </c>
      <c r="AK28">
        <v>9</v>
      </c>
      <c r="AL28">
        <v>10</v>
      </c>
      <c r="AM28">
        <v>7</v>
      </c>
      <c r="AN28">
        <v>25</v>
      </c>
      <c r="AO28">
        <v>56</v>
      </c>
      <c r="AP28">
        <v>31</v>
      </c>
      <c r="AQ28">
        <v>52</v>
      </c>
      <c r="AR28">
        <v>11.75</v>
      </c>
      <c r="AS28">
        <v>23</v>
      </c>
      <c r="AT28">
        <v>17</v>
      </c>
      <c r="AU28">
        <v>87</v>
      </c>
      <c r="AV28">
        <v>87</v>
      </c>
      <c r="AW28">
        <v>15</v>
      </c>
      <c r="AX28">
        <v>2</v>
      </c>
      <c r="AY28">
        <v>17</v>
      </c>
      <c r="AZ28">
        <v>1</v>
      </c>
      <c r="BA28" s="1" t="s">
        <v>172</v>
      </c>
    </row>
    <row r="29" spans="1:53" x14ac:dyDescent="0.3">
      <c r="A29" s="1" t="s">
        <v>177</v>
      </c>
      <c r="B29">
        <v>69</v>
      </c>
      <c r="C29" s="1" t="s">
        <v>178</v>
      </c>
      <c r="D29" s="1" t="s">
        <v>179</v>
      </c>
      <c r="E29" s="1" t="s">
        <v>180</v>
      </c>
      <c r="F29" t="s">
        <v>181</v>
      </c>
      <c r="G29">
        <v>2753</v>
      </c>
      <c r="H29">
        <v>69</v>
      </c>
      <c r="I29" t="s">
        <v>58</v>
      </c>
      <c r="J29" t="s">
        <v>59</v>
      </c>
      <c r="K29" t="s">
        <v>76</v>
      </c>
      <c r="L29">
        <v>1</v>
      </c>
      <c r="M29" t="s">
        <v>61</v>
      </c>
      <c r="P29">
        <v>185</v>
      </c>
      <c r="Q29">
        <v>100</v>
      </c>
      <c r="R29">
        <v>60</v>
      </c>
      <c r="S29">
        <v>170.18</v>
      </c>
      <c r="T29">
        <v>72.574799999999996</v>
      </c>
      <c r="U29">
        <v>25.059292710000001</v>
      </c>
      <c r="V29">
        <v>27</v>
      </c>
      <c r="W29">
        <v>11</v>
      </c>
      <c r="X29">
        <v>15</v>
      </c>
      <c r="Y29">
        <v>4.0833333329999997</v>
      </c>
      <c r="Z29">
        <v>3.6666666669999999</v>
      </c>
      <c r="AA29">
        <v>4.1666666670000003</v>
      </c>
      <c r="AB29">
        <v>4.3333333329999997</v>
      </c>
      <c r="AC29">
        <v>1</v>
      </c>
      <c r="AD29">
        <v>0.83333333300000001</v>
      </c>
      <c r="AE29">
        <v>5</v>
      </c>
      <c r="AF29">
        <v>6</v>
      </c>
      <c r="AG29">
        <v>26</v>
      </c>
      <c r="AH29">
        <v>4</v>
      </c>
      <c r="AI29">
        <v>2</v>
      </c>
      <c r="AJ29">
        <v>9</v>
      </c>
      <c r="AK29">
        <v>7</v>
      </c>
      <c r="AL29">
        <v>7</v>
      </c>
      <c r="AM29">
        <v>5</v>
      </c>
      <c r="AN29">
        <v>54</v>
      </c>
      <c r="AO29">
        <v>113</v>
      </c>
      <c r="AP29">
        <v>59</v>
      </c>
      <c r="AQ29">
        <v>35</v>
      </c>
      <c r="AR29">
        <v>20</v>
      </c>
      <c r="AS29">
        <v>28</v>
      </c>
      <c r="AT29">
        <v>17</v>
      </c>
      <c r="AU29">
        <v>220</v>
      </c>
      <c r="AV29">
        <v>333</v>
      </c>
      <c r="AW29">
        <v>21</v>
      </c>
      <c r="AX29">
        <v>1</v>
      </c>
      <c r="AY29">
        <v>11</v>
      </c>
      <c r="AZ29">
        <v>0</v>
      </c>
      <c r="BA29" s="1" t="s">
        <v>177</v>
      </c>
    </row>
    <row r="30" spans="1:53" x14ac:dyDescent="0.3">
      <c r="A30" s="1" t="s">
        <v>182</v>
      </c>
      <c r="B30">
        <v>37</v>
      </c>
      <c r="C30" s="1" t="s">
        <v>183</v>
      </c>
      <c r="D30" s="1" t="s">
        <v>184</v>
      </c>
      <c r="E30">
        <v>-1.1710159624390699</v>
      </c>
      <c r="F30" t="s">
        <v>185</v>
      </c>
      <c r="G30">
        <v>2227</v>
      </c>
      <c r="H30">
        <v>37</v>
      </c>
      <c r="I30" t="s">
        <v>58</v>
      </c>
      <c r="J30" t="s">
        <v>59</v>
      </c>
      <c r="K30" t="s">
        <v>60</v>
      </c>
      <c r="L30">
        <v>0</v>
      </c>
      <c r="M30" t="s">
        <v>186</v>
      </c>
      <c r="P30">
        <v>138</v>
      </c>
      <c r="Q30">
        <v>72</v>
      </c>
      <c r="R30">
        <v>68</v>
      </c>
      <c r="S30">
        <v>175.26</v>
      </c>
      <c r="T30">
        <v>70.306799999999996</v>
      </c>
      <c r="U30">
        <v>22.889258130000002</v>
      </c>
      <c r="V30">
        <v>27</v>
      </c>
      <c r="W30">
        <v>16</v>
      </c>
      <c r="X30">
        <v>16</v>
      </c>
      <c r="Y30">
        <v>4.6666666670000003</v>
      </c>
      <c r="Z30">
        <v>3.75</v>
      </c>
      <c r="AA30">
        <v>4.0833333329999997</v>
      </c>
      <c r="AB30">
        <v>2.6666666669999999</v>
      </c>
      <c r="AC30">
        <v>0.33</v>
      </c>
      <c r="AD30">
        <v>0.66666666699999999</v>
      </c>
      <c r="AE30">
        <v>9</v>
      </c>
      <c r="AF30">
        <v>8</v>
      </c>
      <c r="AG30">
        <v>39</v>
      </c>
      <c r="AH30">
        <v>9</v>
      </c>
      <c r="AI30">
        <v>4</v>
      </c>
      <c r="AJ30">
        <v>10</v>
      </c>
      <c r="AK30">
        <v>8</v>
      </c>
      <c r="AL30">
        <v>6</v>
      </c>
      <c r="AM30">
        <v>4</v>
      </c>
      <c r="AN30">
        <v>21</v>
      </c>
      <c r="AO30">
        <v>47</v>
      </c>
      <c r="AP30">
        <v>26</v>
      </c>
      <c r="AQ30">
        <v>77</v>
      </c>
      <c r="AR30">
        <v>15.5</v>
      </c>
      <c r="AS30">
        <v>32</v>
      </c>
      <c r="AT30">
        <v>17</v>
      </c>
      <c r="AU30">
        <v>30</v>
      </c>
      <c r="AV30">
        <v>107</v>
      </c>
      <c r="AW30">
        <v>8</v>
      </c>
      <c r="AX30">
        <v>0</v>
      </c>
      <c r="AY30">
        <v>7</v>
      </c>
      <c r="AZ30">
        <v>2</v>
      </c>
      <c r="BA30" s="1" t="s">
        <v>182</v>
      </c>
    </row>
    <row r="31" spans="1:53" x14ac:dyDescent="0.3">
      <c r="A31" s="1" t="s">
        <v>187</v>
      </c>
      <c r="B31">
        <v>50</v>
      </c>
      <c r="C31" s="1" t="s">
        <v>188</v>
      </c>
      <c r="D31" s="1" t="s">
        <v>189</v>
      </c>
      <c r="E31" s="1" t="s">
        <v>190</v>
      </c>
      <c r="F31" t="s">
        <v>191</v>
      </c>
      <c r="G31">
        <v>2765</v>
      </c>
      <c r="H31">
        <v>50</v>
      </c>
      <c r="I31" t="s">
        <v>58</v>
      </c>
      <c r="J31" t="s">
        <v>69</v>
      </c>
      <c r="K31" t="s">
        <v>76</v>
      </c>
      <c r="L31">
        <v>1</v>
      </c>
      <c r="M31" t="s">
        <v>61</v>
      </c>
      <c r="P31">
        <v>150</v>
      </c>
      <c r="Q31">
        <v>89</v>
      </c>
      <c r="R31">
        <v>64</v>
      </c>
      <c r="S31">
        <v>175.26</v>
      </c>
      <c r="T31">
        <v>90.264899999999997</v>
      </c>
      <c r="U31">
        <v>29.386867219999999</v>
      </c>
      <c r="V31">
        <v>29</v>
      </c>
      <c r="W31">
        <v>14</v>
      </c>
      <c r="X31">
        <v>15</v>
      </c>
      <c r="Y31">
        <v>3.4166666669999999</v>
      </c>
      <c r="Z31">
        <v>4</v>
      </c>
      <c r="AA31">
        <v>4.5833333329999997</v>
      </c>
      <c r="AB31">
        <v>3.75</v>
      </c>
      <c r="AC31">
        <v>1</v>
      </c>
      <c r="AD31">
        <v>0.83333333300000001</v>
      </c>
      <c r="AE31">
        <v>12</v>
      </c>
      <c r="AF31">
        <v>13</v>
      </c>
      <c r="AG31">
        <v>59</v>
      </c>
      <c r="AH31">
        <v>5</v>
      </c>
      <c r="AI31">
        <v>0</v>
      </c>
      <c r="AJ31">
        <v>13</v>
      </c>
      <c r="AK31">
        <v>9</v>
      </c>
      <c r="AL31">
        <v>12</v>
      </c>
      <c r="AM31">
        <v>7</v>
      </c>
      <c r="AN31">
        <v>19</v>
      </c>
      <c r="AO31">
        <v>90</v>
      </c>
      <c r="AP31">
        <v>71</v>
      </c>
      <c r="AQ31">
        <v>50</v>
      </c>
      <c r="AR31">
        <v>14.75</v>
      </c>
      <c r="AS31">
        <v>31</v>
      </c>
      <c r="AT31">
        <v>17</v>
      </c>
      <c r="AU31">
        <v>97</v>
      </c>
      <c r="AV31">
        <v>110</v>
      </c>
      <c r="AW31">
        <v>32</v>
      </c>
      <c r="AX31">
        <v>2</v>
      </c>
      <c r="AY31">
        <v>28</v>
      </c>
      <c r="AZ31">
        <v>3</v>
      </c>
      <c r="BA31" s="1" t="s">
        <v>187</v>
      </c>
    </row>
    <row r="32" spans="1:53" x14ac:dyDescent="0.3">
      <c r="A32" s="1" t="s">
        <v>192</v>
      </c>
      <c r="B32">
        <v>57</v>
      </c>
      <c r="C32" s="1" t="s">
        <v>193</v>
      </c>
      <c r="D32" s="1" t="s">
        <v>194</v>
      </c>
      <c r="E32">
        <v>-1.43030139301795</v>
      </c>
      <c r="F32" t="s">
        <v>195</v>
      </c>
      <c r="G32">
        <v>2771</v>
      </c>
      <c r="H32">
        <v>57</v>
      </c>
      <c r="I32" t="s">
        <v>68</v>
      </c>
      <c r="J32" t="s">
        <v>69</v>
      </c>
      <c r="K32" t="s">
        <v>76</v>
      </c>
      <c r="L32">
        <v>1</v>
      </c>
      <c r="M32" t="s">
        <v>61</v>
      </c>
      <c r="P32">
        <v>140</v>
      </c>
      <c r="Q32">
        <v>81</v>
      </c>
      <c r="R32">
        <v>53</v>
      </c>
      <c r="S32">
        <v>181.61</v>
      </c>
      <c r="T32">
        <v>92.986400000000003</v>
      </c>
      <c r="U32">
        <v>28.1929108</v>
      </c>
      <c r="V32">
        <v>29</v>
      </c>
      <c r="W32">
        <v>16</v>
      </c>
      <c r="X32">
        <v>16</v>
      </c>
      <c r="Y32">
        <v>5.4166666670000003</v>
      </c>
      <c r="Z32">
        <v>5</v>
      </c>
      <c r="AA32">
        <v>4.8333333329999997</v>
      </c>
      <c r="AB32">
        <v>3.5</v>
      </c>
      <c r="AC32">
        <v>0.67</v>
      </c>
      <c r="AD32">
        <v>0.66666666699999999</v>
      </c>
      <c r="AE32">
        <v>9</v>
      </c>
      <c r="AF32">
        <v>10</v>
      </c>
      <c r="AG32">
        <v>62</v>
      </c>
      <c r="AH32">
        <v>5</v>
      </c>
      <c r="AI32">
        <v>4</v>
      </c>
      <c r="AJ32">
        <v>11</v>
      </c>
      <c r="AK32">
        <v>8</v>
      </c>
      <c r="AL32">
        <v>12</v>
      </c>
      <c r="AM32">
        <v>7</v>
      </c>
      <c r="AN32">
        <v>33</v>
      </c>
      <c r="AO32">
        <v>51</v>
      </c>
      <c r="AP32">
        <v>18</v>
      </c>
      <c r="AQ32">
        <v>46</v>
      </c>
      <c r="AR32">
        <v>17.5</v>
      </c>
      <c r="AS32">
        <v>27</v>
      </c>
      <c r="AT32">
        <v>17</v>
      </c>
      <c r="AU32">
        <v>123</v>
      </c>
      <c r="AV32">
        <v>180</v>
      </c>
      <c r="AW32">
        <v>28</v>
      </c>
      <c r="AX32">
        <v>4</v>
      </c>
      <c r="AY32">
        <v>27</v>
      </c>
      <c r="AZ32">
        <v>2</v>
      </c>
      <c r="BA32" s="1" t="s">
        <v>192</v>
      </c>
    </row>
    <row r="33" spans="1:53" x14ac:dyDescent="0.3">
      <c r="A33" s="1" t="s">
        <v>196</v>
      </c>
      <c r="B33">
        <v>35</v>
      </c>
      <c r="C33" s="1" t="s">
        <v>197</v>
      </c>
      <c r="D33" s="1" t="s">
        <v>198</v>
      </c>
      <c r="E33">
        <v>-1.8500923021936899</v>
      </c>
      <c r="F33" t="s">
        <v>199</v>
      </c>
      <c r="G33">
        <v>2781</v>
      </c>
      <c r="H33">
        <v>35</v>
      </c>
      <c r="I33" t="s">
        <v>68</v>
      </c>
      <c r="J33" t="s">
        <v>69</v>
      </c>
      <c r="K33" t="s">
        <v>76</v>
      </c>
      <c r="L33">
        <v>1</v>
      </c>
      <c r="M33" t="s">
        <v>61</v>
      </c>
      <c r="P33">
        <v>139</v>
      </c>
      <c r="Q33">
        <v>83</v>
      </c>
      <c r="R33">
        <v>63</v>
      </c>
      <c r="S33">
        <v>165.1</v>
      </c>
      <c r="T33">
        <v>83.007400000000004</v>
      </c>
      <c r="U33">
        <v>30.452479839999999</v>
      </c>
      <c r="V33">
        <v>30</v>
      </c>
      <c r="W33">
        <v>16</v>
      </c>
      <c r="X33">
        <v>17</v>
      </c>
      <c r="Y33">
        <v>4.6666666670000003</v>
      </c>
      <c r="Z33">
        <v>4</v>
      </c>
      <c r="AA33">
        <v>5.0833333329999997</v>
      </c>
      <c r="AB33">
        <v>4.5</v>
      </c>
      <c r="AC33">
        <v>1</v>
      </c>
      <c r="AD33">
        <v>0.66666666699999999</v>
      </c>
      <c r="AE33">
        <v>12</v>
      </c>
      <c r="AF33">
        <v>13</v>
      </c>
      <c r="AG33">
        <v>53</v>
      </c>
      <c r="AH33">
        <v>8</v>
      </c>
      <c r="AI33">
        <v>1</v>
      </c>
      <c r="AJ33">
        <v>13</v>
      </c>
      <c r="AK33">
        <v>9</v>
      </c>
      <c r="AL33">
        <v>9</v>
      </c>
      <c r="AM33">
        <v>6</v>
      </c>
      <c r="AN33">
        <v>26</v>
      </c>
      <c r="AO33">
        <v>63</v>
      </c>
      <c r="AP33">
        <v>37</v>
      </c>
      <c r="AQ33">
        <v>68</v>
      </c>
      <c r="AR33">
        <v>18.5</v>
      </c>
      <c r="AS33">
        <v>25</v>
      </c>
      <c r="AT33">
        <v>17</v>
      </c>
      <c r="AU33">
        <v>17</v>
      </c>
      <c r="AV33">
        <v>43</v>
      </c>
      <c r="AW33">
        <v>33</v>
      </c>
      <c r="AX33">
        <v>2</v>
      </c>
      <c r="AY33">
        <v>32</v>
      </c>
      <c r="AZ33">
        <v>5</v>
      </c>
      <c r="BA33" s="1" t="s">
        <v>196</v>
      </c>
    </row>
    <row r="34" spans="1:53" x14ac:dyDescent="0.3">
      <c r="A34" s="1" t="s">
        <v>200</v>
      </c>
      <c r="B34">
        <v>25</v>
      </c>
      <c r="C34">
        <v>36.706432342529297</v>
      </c>
      <c r="D34" s="1" t="s">
        <v>201</v>
      </c>
      <c r="E34" s="1" t="s">
        <v>202</v>
      </c>
      <c r="F34" t="s">
        <v>203</v>
      </c>
      <c r="G34">
        <v>2802</v>
      </c>
      <c r="H34">
        <v>25</v>
      </c>
      <c r="I34" t="s">
        <v>68</v>
      </c>
      <c r="J34" t="s">
        <v>69</v>
      </c>
      <c r="K34" t="s">
        <v>76</v>
      </c>
      <c r="L34">
        <v>1</v>
      </c>
      <c r="M34" t="s">
        <v>70</v>
      </c>
      <c r="N34" t="s">
        <v>147</v>
      </c>
      <c r="O34">
        <v>1</v>
      </c>
      <c r="P34">
        <v>102</v>
      </c>
      <c r="Q34">
        <v>49</v>
      </c>
      <c r="R34">
        <v>62</v>
      </c>
      <c r="S34">
        <v>162.56</v>
      </c>
      <c r="T34">
        <v>52.1631</v>
      </c>
      <c r="U34">
        <v>19.73949382</v>
      </c>
      <c r="V34">
        <v>29</v>
      </c>
      <c r="W34">
        <v>16</v>
      </c>
      <c r="X34">
        <v>16</v>
      </c>
      <c r="Y34">
        <v>4.1666666670000003</v>
      </c>
      <c r="Z34">
        <v>3</v>
      </c>
      <c r="AA34">
        <v>3.75</v>
      </c>
      <c r="AB34">
        <v>3.3333333330000001</v>
      </c>
      <c r="AC34">
        <v>0.67</v>
      </c>
      <c r="AD34">
        <v>0.66666666699999999</v>
      </c>
      <c r="AE34">
        <v>15</v>
      </c>
      <c r="AF34">
        <v>15</v>
      </c>
      <c r="AG34">
        <v>51</v>
      </c>
      <c r="AH34">
        <v>9</v>
      </c>
      <c r="AI34">
        <v>1</v>
      </c>
      <c r="AJ34">
        <v>10</v>
      </c>
      <c r="AK34">
        <v>9</v>
      </c>
      <c r="AL34">
        <v>6</v>
      </c>
      <c r="AM34">
        <v>4</v>
      </c>
      <c r="AN34">
        <v>161</v>
      </c>
      <c r="AO34">
        <v>561</v>
      </c>
      <c r="AP34">
        <v>400</v>
      </c>
      <c r="AQ34">
        <v>80</v>
      </c>
      <c r="AR34">
        <v>16</v>
      </c>
      <c r="AS34">
        <v>34</v>
      </c>
      <c r="AT34">
        <v>17</v>
      </c>
      <c r="AU34">
        <v>40</v>
      </c>
      <c r="AV34">
        <v>60</v>
      </c>
      <c r="AW34">
        <v>26</v>
      </c>
      <c r="AX34">
        <v>3</v>
      </c>
      <c r="AY34">
        <v>27</v>
      </c>
      <c r="AZ34">
        <v>1</v>
      </c>
      <c r="BA34" s="1" t="s">
        <v>200</v>
      </c>
    </row>
    <row r="35" spans="1:53" x14ac:dyDescent="0.3">
      <c r="A35" s="1" t="s">
        <v>204</v>
      </c>
      <c r="B35">
        <v>52</v>
      </c>
      <c r="C35" s="1" t="s">
        <v>205</v>
      </c>
      <c r="D35" s="1" t="s">
        <v>206</v>
      </c>
      <c r="E35">
        <v>-0.58563765866425399</v>
      </c>
      <c r="F35" t="s">
        <v>207</v>
      </c>
      <c r="G35">
        <v>2804</v>
      </c>
      <c r="H35">
        <v>52</v>
      </c>
      <c r="I35" t="s">
        <v>58</v>
      </c>
      <c r="J35" t="s">
        <v>69</v>
      </c>
      <c r="K35" t="s">
        <v>76</v>
      </c>
      <c r="L35">
        <v>1</v>
      </c>
      <c r="M35" t="s">
        <v>70</v>
      </c>
      <c r="N35" t="s">
        <v>208</v>
      </c>
      <c r="O35">
        <v>5</v>
      </c>
      <c r="P35">
        <v>152</v>
      </c>
      <c r="Q35">
        <v>87</v>
      </c>
      <c r="R35">
        <v>77</v>
      </c>
      <c r="S35">
        <v>177.8</v>
      </c>
      <c r="T35">
        <v>97.522400000000005</v>
      </c>
      <c r="U35">
        <v>30.84898415</v>
      </c>
      <c r="V35">
        <v>30</v>
      </c>
      <c r="W35">
        <v>16</v>
      </c>
      <c r="X35">
        <v>14</v>
      </c>
      <c r="Y35">
        <v>1.9166666670000001</v>
      </c>
      <c r="Z35">
        <v>2.3333333330000001</v>
      </c>
      <c r="AA35">
        <v>3.25</v>
      </c>
      <c r="AB35">
        <v>3.25</v>
      </c>
      <c r="AC35">
        <v>0.67</v>
      </c>
      <c r="AD35">
        <v>0.5</v>
      </c>
      <c r="AE35">
        <v>10</v>
      </c>
      <c r="AF35">
        <v>10</v>
      </c>
      <c r="AG35">
        <v>42</v>
      </c>
      <c r="AH35">
        <v>7</v>
      </c>
      <c r="AI35">
        <v>2</v>
      </c>
      <c r="AJ35">
        <v>7</v>
      </c>
      <c r="AK35">
        <v>6</v>
      </c>
      <c r="AL35">
        <v>7</v>
      </c>
      <c r="AM35">
        <v>5</v>
      </c>
      <c r="AN35">
        <v>170</v>
      </c>
      <c r="AO35">
        <v>420</v>
      </c>
      <c r="AP35">
        <v>250</v>
      </c>
      <c r="AQ35">
        <v>74</v>
      </c>
      <c r="AR35">
        <v>18.25</v>
      </c>
      <c r="AS35">
        <v>35</v>
      </c>
      <c r="AT35">
        <v>17</v>
      </c>
      <c r="AU35">
        <v>40</v>
      </c>
      <c r="AV35">
        <v>87</v>
      </c>
      <c r="AW35">
        <v>26</v>
      </c>
      <c r="AX35">
        <v>3</v>
      </c>
      <c r="AY35">
        <v>27</v>
      </c>
      <c r="AZ35">
        <v>1</v>
      </c>
      <c r="BA35" s="1" t="s">
        <v>204</v>
      </c>
    </row>
    <row r="36" spans="1:53" x14ac:dyDescent="0.3">
      <c r="A36" s="1" t="s">
        <v>209</v>
      </c>
      <c r="B36">
        <v>32</v>
      </c>
      <c r="C36" s="1" t="s">
        <v>210</v>
      </c>
      <c r="D36">
        <v>2.92669677734375</v>
      </c>
      <c r="E36">
        <v>-0.73225509063420202</v>
      </c>
      <c r="F36" t="s">
        <v>211</v>
      </c>
      <c r="G36">
        <v>2813</v>
      </c>
      <c r="H36">
        <v>32</v>
      </c>
      <c r="I36" t="s">
        <v>68</v>
      </c>
      <c r="J36" t="s">
        <v>59</v>
      </c>
      <c r="K36" t="s">
        <v>60</v>
      </c>
      <c r="L36">
        <v>0</v>
      </c>
      <c r="M36" t="s">
        <v>70</v>
      </c>
      <c r="P36">
        <v>118</v>
      </c>
      <c r="Q36">
        <v>57</v>
      </c>
      <c r="R36">
        <v>101</v>
      </c>
      <c r="S36">
        <v>168</v>
      </c>
      <c r="T36">
        <v>63.5</v>
      </c>
      <c r="U36">
        <v>22.498582769999999</v>
      </c>
      <c r="V36">
        <v>27</v>
      </c>
      <c r="W36">
        <v>16</v>
      </c>
      <c r="X36">
        <v>14</v>
      </c>
      <c r="Y36">
        <v>5.25</v>
      </c>
      <c r="Z36">
        <v>5.4166666670000003</v>
      </c>
      <c r="AA36">
        <v>4.9166666670000003</v>
      </c>
      <c r="AB36">
        <v>4.5833333329999997</v>
      </c>
      <c r="AC36">
        <v>0.67</v>
      </c>
      <c r="AD36">
        <v>0.66666666699999999</v>
      </c>
      <c r="AE36">
        <v>13</v>
      </c>
      <c r="AF36">
        <v>13</v>
      </c>
      <c r="AG36">
        <v>55</v>
      </c>
      <c r="AH36">
        <v>4</v>
      </c>
      <c r="AI36">
        <v>1</v>
      </c>
      <c r="AJ36">
        <v>10</v>
      </c>
      <c r="AK36">
        <v>8</v>
      </c>
      <c r="AL36">
        <v>10</v>
      </c>
      <c r="AM36">
        <v>7</v>
      </c>
      <c r="AN36">
        <v>21</v>
      </c>
      <c r="AO36">
        <v>44</v>
      </c>
      <c r="AP36">
        <v>23</v>
      </c>
      <c r="AQ36">
        <v>64</v>
      </c>
      <c r="AR36">
        <v>13</v>
      </c>
      <c r="AS36">
        <v>23</v>
      </c>
      <c r="AT36">
        <v>17</v>
      </c>
      <c r="AU36">
        <v>47</v>
      </c>
      <c r="AV36">
        <v>90</v>
      </c>
      <c r="AW36">
        <v>23</v>
      </c>
      <c r="AX36">
        <v>2</v>
      </c>
      <c r="AY36">
        <v>21</v>
      </c>
      <c r="AZ36">
        <v>3</v>
      </c>
      <c r="BA36" s="1" t="s">
        <v>209</v>
      </c>
    </row>
    <row r="37" spans="1:53" x14ac:dyDescent="0.3">
      <c r="A37" s="1" t="s">
        <v>212</v>
      </c>
      <c r="B37">
        <v>57</v>
      </c>
      <c r="C37" s="1" t="s">
        <v>213</v>
      </c>
      <c r="D37" s="1" t="s">
        <v>214</v>
      </c>
      <c r="E37" s="1" t="s">
        <v>215</v>
      </c>
      <c r="F37" t="s">
        <v>216</v>
      </c>
      <c r="G37">
        <v>2817</v>
      </c>
      <c r="H37">
        <v>57</v>
      </c>
      <c r="I37" t="s">
        <v>58</v>
      </c>
      <c r="J37" t="s">
        <v>69</v>
      </c>
      <c r="K37" t="s">
        <v>60</v>
      </c>
      <c r="L37">
        <v>0</v>
      </c>
      <c r="M37" t="s">
        <v>186</v>
      </c>
      <c r="N37" t="s">
        <v>147</v>
      </c>
      <c r="O37">
        <v>1</v>
      </c>
      <c r="P37">
        <v>119</v>
      </c>
      <c r="Q37">
        <v>66</v>
      </c>
      <c r="R37">
        <v>56</v>
      </c>
      <c r="S37">
        <v>152.4</v>
      </c>
      <c r="T37">
        <v>62.595700000000001</v>
      </c>
      <c r="U37">
        <v>26.95098029</v>
      </c>
      <c r="V37">
        <v>23</v>
      </c>
      <c r="W37">
        <v>15</v>
      </c>
      <c r="X37">
        <v>13</v>
      </c>
      <c r="Y37">
        <v>4.8333333329999997</v>
      </c>
      <c r="Z37">
        <v>5.0833333329999997</v>
      </c>
      <c r="AA37">
        <v>4.8333333329999997</v>
      </c>
      <c r="AB37">
        <v>5.5</v>
      </c>
      <c r="AC37">
        <v>1</v>
      </c>
      <c r="AD37">
        <v>0.5</v>
      </c>
      <c r="AE37">
        <v>8</v>
      </c>
      <c r="AF37">
        <v>9</v>
      </c>
      <c r="AG37">
        <v>42</v>
      </c>
      <c r="AH37">
        <v>8</v>
      </c>
      <c r="AI37">
        <v>2</v>
      </c>
      <c r="AJ37">
        <v>8</v>
      </c>
      <c r="AK37">
        <v>6</v>
      </c>
      <c r="AL37">
        <v>4</v>
      </c>
      <c r="AM37">
        <v>3</v>
      </c>
      <c r="AN37">
        <v>39</v>
      </c>
      <c r="AO37">
        <v>132</v>
      </c>
      <c r="AP37">
        <v>93</v>
      </c>
      <c r="AQ37">
        <v>42</v>
      </c>
      <c r="AR37">
        <v>12.25</v>
      </c>
      <c r="AS37">
        <v>26</v>
      </c>
      <c r="AT37">
        <v>17</v>
      </c>
      <c r="AU37">
        <v>80</v>
      </c>
      <c r="AV37">
        <v>183</v>
      </c>
      <c r="AW37">
        <v>21</v>
      </c>
      <c r="AX37">
        <v>1</v>
      </c>
      <c r="AY37">
        <v>18</v>
      </c>
      <c r="AZ37">
        <v>2</v>
      </c>
      <c r="BA37" s="1" t="s">
        <v>212</v>
      </c>
    </row>
    <row r="38" spans="1:53" x14ac:dyDescent="0.3">
      <c r="A38" s="1" t="s">
        <v>217</v>
      </c>
      <c r="B38">
        <v>51</v>
      </c>
      <c r="C38" s="1" t="s">
        <v>218</v>
      </c>
      <c r="D38" s="1" t="s">
        <v>219</v>
      </c>
      <c r="E38">
        <v>-1.68708149870757</v>
      </c>
      <c r="F38" t="s">
        <v>220</v>
      </c>
      <c r="G38">
        <v>2840</v>
      </c>
      <c r="H38">
        <v>51</v>
      </c>
      <c r="I38" t="s">
        <v>68</v>
      </c>
      <c r="J38" t="s">
        <v>69</v>
      </c>
      <c r="K38" t="s">
        <v>76</v>
      </c>
      <c r="L38">
        <v>1</v>
      </c>
      <c r="M38" t="s">
        <v>121</v>
      </c>
      <c r="P38">
        <v>135</v>
      </c>
      <c r="Q38">
        <v>67</v>
      </c>
      <c r="R38">
        <v>67</v>
      </c>
      <c r="S38">
        <v>160.02000000000001</v>
      </c>
      <c r="T38">
        <v>58.966999999999999</v>
      </c>
      <c r="U38">
        <v>23.028226960000001</v>
      </c>
      <c r="V38">
        <v>28</v>
      </c>
      <c r="W38">
        <v>16</v>
      </c>
      <c r="X38">
        <v>14</v>
      </c>
      <c r="Y38">
        <v>5.25</v>
      </c>
      <c r="Z38">
        <v>5.4166666670000003</v>
      </c>
      <c r="AA38">
        <v>4.9166666670000003</v>
      </c>
      <c r="AB38">
        <v>4.5833333329999997</v>
      </c>
      <c r="AC38">
        <v>0.67</v>
      </c>
      <c r="AD38">
        <v>0.66666666699999999</v>
      </c>
      <c r="AE38">
        <v>13</v>
      </c>
      <c r="AF38">
        <v>13</v>
      </c>
      <c r="AG38">
        <v>55</v>
      </c>
      <c r="AH38">
        <v>4</v>
      </c>
      <c r="AI38">
        <v>1</v>
      </c>
      <c r="AJ38">
        <v>10</v>
      </c>
      <c r="AK38">
        <v>8</v>
      </c>
      <c r="AL38">
        <v>10</v>
      </c>
      <c r="AM38">
        <v>7</v>
      </c>
      <c r="AN38">
        <v>21</v>
      </c>
      <c r="AO38">
        <v>44</v>
      </c>
      <c r="AP38">
        <v>23</v>
      </c>
      <c r="AQ38">
        <v>64</v>
      </c>
      <c r="AR38">
        <v>13</v>
      </c>
      <c r="AS38">
        <v>23</v>
      </c>
      <c r="AT38">
        <v>17</v>
      </c>
      <c r="AU38">
        <v>47</v>
      </c>
      <c r="AV38">
        <v>90</v>
      </c>
      <c r="AW38">
        <v>23</v>
      </c>
      <c r="AX38">
        <v>2</v>
      </c>
      <c r="AY38">
        <v>21</v>
      </c>
      <c r="AZ38">
        <v>3</v>
      </c>
      <c r="BA38" s="1" t="s">
        <v>217</v>
      </c>
    </row>
    <row r="39" spans="1:53" x14ac:dyDescent="0.3">
      <c r="A39" s="1" t="s">
        <v>221</v>
      </c>
      <c r="B39">
        <v>44</v>
      </c>
      <c r="C39" s="1" t="s">
        <v>222</v>
      </c>
      <c r="D39">
        <v>-4.37078857421875</v>
      </c>
      <c r="E39">
        <v>-7.0607511536690302</v>
      </c>
      <c r="F39" t="s">
        <v>223</v>
      </c>
      <c r="G39">
        <v>2877</v>
      </c>
      <c r="H39">
        <v>44</v>
      </c>
      <c r="I39" t="s">
        <v>68</v>
      </c>
      <c r="J39" t="s">
        <v>69</v>
      </c>
      <c r="K39" t="s">
        <v>76</v>
      </c>
      <c r="L39">
        <v>1</v>
      </c>
      <c r="M39" t="s">
        <v>61</v>
      </c>
      <c r="N39" t="s">
        <v>224</v>
      </c>
      <c r="P39">
        <v>121</v>
      </c>
      <c r="Q39">
        <v>81</v>
      </c>
      <c r="R39">
        <v>75</v>
      </c>
      <c r="S39">
        <v>170.18</v>
      </c>
      <c r="T39">
        <v>88.450500000000005</v>
      </c>
      <c r="U39">
        <v>30.54100004</v>
      </c>
      <c r="V39">
        <v>27</v>
      </c>
      <c r="W39">
        <v>16</v>
      </c>
      <c r="X39">
        <v>17</v>
      </c>
      <c r="Y39">
        <v>5.9166666670000003</v>
      </c>
      <c r="Z39">
        <v>6.25</v>
      </c>
      <c r="AA39">
        <v>5.5833333329999997</v>
      </c>
      <c r="AB39">
        <v>4.5</v>
      </c>
      <c r="AC39">
        <v>1</v>
      </c>
      <c r="AD39">
        <v>1</v>
      </c>
      <c r="AE39">
        <v>10</v>
      </c>
      <c r="AF39">
        <v>0</v>
      </c>
      <c r="AG39">
        <v>48</v>
      </c>
      <c r="AH39">
        <v>6</v>
      </c>
      <c r="AI39">
        <v>13</v>
      </c>
      <c r="AJ39">
        <v>11</v>
      </c>
      <c r="AK39">
        <v>8</v>
      </c>
      <c r="AL39">
        <v>7</v>
      </c>
      <c r="AM39">
        <v>5</v>
      </c>
      <c r="AN39">
        <v>18</v>
      </c>
      <c r="AO39">
        <v>49</v>
      </c>
      <c r="AP39">
        <v>31</v>
      </c>
      <c r="AQ39">
        <v>64</v>
      </c>
      <c r="AR39">
        <v>20.25</v>
      </c>
      <c r="AS39">
        <v>41</v>
      </c>
      <c r="AT39">
        <v>17</v>
      </c>
      <c r="AU39">
        <v>30</v>
      </c>
      <c r="AV39">
        <v>53</v>
      </c>
      <c r="AW39">
        <v>21</v>
      </c>
      <c r="AX39">
        <v>3</v>
      </c>
      <c r="AY39">
        <v>16</v>
      </c>
      <c r="AZ39">
        <v>2</v>
      </c>
      <c r="BA39" s="1" t="s">
        <v>221</v>
      </c>
    </row>
    <row r="40" spans="1:53" x14ac:dyDescent="0.3">
      <c r="A40" s="1" t="s">
        <v>225</v>
      </c>
      <c r="B40">
        <v>36</v>
      </c>
      <c r="C40" s="1" t="s">
        <v>226</v>
      </c>
      <c r="D40" s="1" t="s">
        <v>227</v>
      </c>
      <c r="E40" s="1" t="s">
        <v>228</v>
      </c>
      <c r="F40" t="s">
        <v>229</v>
      </c>
      <c r="G40">
        <v>2898</v>
      </c>
      <c r="H40">
        <v>36</v>
      </c>
      <c r="I40" t="s">
        <v>68</v>
      </c>
      <c r="J40" t="s">
        <v>69</v>
      </c>
      <c r="K40" t="s">
        <v>76</v>
      </c>
      <c r="L40">
        <v>1</v>
      </c>
      <c r="M40" t="s">
        <v>61</v>
      </c>
      <c r="N40" t="s">
        <v>230</v>
      </c>
      <c r="O40">
        <v>2</v>
      </c>
      <c r="P40">
        <v>150</v>
      </c>
      <c r="Q40">
        <v>100</v>
      </c>
      <c r="R40">
        <v>75</v>
      </c>
      <c r="S40">
        <v>170.18</v>
      </c>
      <c r="T40">
        <v>131.542</v>
      </c>
      <c r="U40">
        <v>45.420028469999998</v>
      </c>
      <c r="V40">
        <v>29</v>
      </c>
      <c r="W40">
        <v>16</v>
      </c>
      <c r="X40">
        <v>17</v>
      </c>
      <c r="Y40">
        <v>4.4166666670000003</v>
      </c>
      <c r="Z40">
        <v>4.5</v>
      </c>
      <c r="AA40">
        <v>4.6666666670000003</v>
      </c>
      <c r="AB40">
        <v>4.0833333329999997</v>
      </c>
      <c r="AC40">
        <v>1</v>
      </c>
      <c r="AD40">
        <v>0.83333333300000001</v>
      </c>
      <c r="AE40">
        <v>11</v>
      </c>
      <c r="AF40">
        <v>10</v>
      </c>
      <c r="AG40">
        <v>52</v>
      </c>
      <c r="AH40">
        <v>9</v>
      </c>
      <c r="AI40">
        <v>5</v>
      </c>
      <c r="AJ40">
        <v>8</v>
      </c>
      <c r="AK40">
        <v>7</v>
      </c>
      <c r="AL40">
        <v>6</v>
      </c>
      <c r="AM40">
        <v>4</v>
      </c>
      <c r="AN40">
        <v>20</v>
      </c>
      <c r="AO40">
        <v>52</v>
      </c>
      <c r="AP40">
        <v>32</v>
      </c>
      <c r="AQ40">
        <v>59</v>
      </c>
      <c r="AR40">
        <v>17</v>
      </c>
      <c r="AS40">
        <v>25</v>
      </c>
      <c r="AT40">
        <v>17</v>
      </c>
      <c r="AU40">
        <v>67</v>
      </c>
      <c r="AV40">
        <v>77</v>
      </c>
      <c r="AW40">
        <v>27</v>
      </c>
      <c r="AX40">
        <v>3</v>
      </c>
      <c r="AY40">
        <v>24</v>
      </c>
      <c r="AZ40">
        <v>5</v>
      </c>
      <c r="BA40" s="1" t="s">
        <v>225</v>
      </c>
    </row>
    <row r="41" spans="1:53" x14ac:dyDescent="0.3">
      <c r="A41" s="1" t="s">
        <v>231</v>
      </c>
      <c r="B41">
        <v>40</v>
      </c>
      <c r="C41" s="1" t="s">
        <v>232</v>
      </c>
      <c r="D41">
        <v>-0.35734176635742099</v>
      </c>
      <c r="E41">
        <v>-3.3703007753169199</v>
      </c>
      <c r="F41" t="s">
        <v>233</v>
      </c>
      <c r="G41">
        <v>2926</v>
      </c>
      <c r="H41">
        <v>40</v>
      </c>
      <c r="I41" t="s">
        <v>58</v>
      </c>
      <c r="J41" t="s">
        <v>69</v>
      </c>
      <c r="K41" t="s">
        <v>76</v>
      </c>
      <c r="L41">
        <v>1</v>
      </c>
      <c r="M41" t="s">
        <v>70</v>
      </c>
      <c r="P41">
        <v>119</v>
      </c>
      <c r="Q41">
        <v>79</v>
      </c>
      <c r="R41">
        <v>73</v>
      </c>
      <c r="S41">
        <v>162.56</v>
      </c>
      <c r="T41">
        <v>90.718500000000006</v>
      </c>
      <c r="U41">
        <v>34.329579160000002</v>
      </c>
      <c r="V41">
        <v>26</v>
      </c>
      <c r="W41">
        <v>16</v>
      </c>
      <c r="X41">
        <v>17</v>
      </c>
      <c r="Y41">
        <v>6.9166666670000003</v>
      </c>
      <c r="Z41">
        <v>7</v>
      </c>
      <c r="AA41">
        <v>6.75</v>
      </c>
      <c r="AB41">
        <v>6</v>
      </c>
      <c r="AC41">
        <v>0.33</v>
      </c>
      <c r="AD41">
        <v>0.33333333300000001</v>
      </c>
      <c r="AE41">
        <v>10</v>
      </c>
      <c r="AF41">
        <v>8</v>
      </c>
      <c r="AG41">
        <v>39</v>
      </c>
      <c r="AH41">
        <v>5</v>
      </c>
      <c r="AI41">
        <v>2</v>
      </c>
      <c r="AJ41">
        <v>11</v>
      </c>
      <c r="AK41">
        <v>8</v>
      </c>
      <c r="AL41">
        <v>12</v>
      </c>
      <c r="AM41">
        <v>8</v>
      </c>
      <c r="AN41">
        <v>29</v>
      </c>
      <c r="AO41">
        <v>60</v>
      </c>
      <c r="AP41">
        <v>31</v>
      </c>
      <c r="AQ41">
        <v>50</v>
      </c>
      <c r="AR41">
        <v>21</v>
      </c>
      <c r="AS41">
        <v>38</v>
      </c>
      <c r="AT41">
        <v>17</v>
      </c>
      <c r="AU41">
        <v>67</v>
      </c>
      <c r="AV41">
        <v>93</v>
      </c>
      <c r="AW41">
        <v>35</v>
      </c>
      <c r="AX41">
        <v>1</v>
      </c>
      <c r="AY41">
        <v>32</v>
      </c>
      <c r="AZ41">
        <v>1</v>
      </c>
      <c r="BA41" s="1" t="s">
        <v>231</v>
      </c>
    </row>
    <row r="42" spans="1:53" x14ac:dyDescent="0.3">
      <c r="A42" s="1" t="s">
        <v>234</v>
      </c>
      <c r="B42">
        <v>53</v>
      </c>
      <c r="C42">
        <v>56.101062774658203</v>
      </c>
      <c r="D42" s="1" t="s">
        <v>235</v>
      </c>
      <c r="E42" s="1" t="s">
        <v>236</v>
      </c>
      <c r="F42" t="s">
        <v>237</v>
      </c>
      <c r="G42">
        <v>2938</v>
      </c>
      <c r="H42">
        <v>53</v>
      </c>
      <c r="I42" t="s">
        <v>58</v>
      </c>
      <c r="J42" t="s">
        <v>59</v>
      </c>
      <c r="K42" t="s">
        <v>76</v>
      </c>
      <c r="L42">
        <v>1</v>
      </c>
      <c r="M42" t="s">
        <v>61</v>
      </c>
      <c r="P42">
        <v>123</v>
      </c>
      <c r="Q42">
        <v>87</v>
      </c>
      <c r="R42">
        <v>58</v>
      </c>
      <c r="S42">
        <v>180.34</v>
      </c>
      <c r="T42">
        <v>78.017899999999997</v>
      </c>
      <c r="U42">
        <v>23.988888490000001</v>
      </c>
      <c r="V42">
        <v>23</v>
      </c>
      <c r="W42">
        <v>15</v>
      </c>
      <c r="X42">
        <v>13</v>
      </c>
      <c r="Y42">
        <v>6.3333333329999997</v>
      </c>
      <c r="Z42">
        <v>5.25</v>
      </c>
      <c r="AA42">
        <v>6.0833333329999997</v>
      </c>
      <c r="AB42">
        <v>5.1666666670000003</v>
      </c>
      <c r="AC42">
        <v>1</v>
      </c>
      <c r="AD42">
        <v>1</v>
      </c>
      <c r="AE42">
        <v>4</v>
      </c>
      <c r="AF42">
        <v>3</v>
      </c>
      <c r="AG42">
        <v>30</v>
      </c>
      <c r="AH42">
        <v>3</v>
      </c>
      <c r="AI42">
        <v>4</v>
      </c>
      <c r="AJ42">
        <v>11</v>
      </c>
      <c r="AK42">
        <v>8</v>
      </c>
      <c r="AL42">
        <v>7</v>
      </c>
      <c r="AM42">
        <v>5</v>
      </c>
      <c r="AN42">
        <v>30</v>
      </c>
      <c r="AO42">
        <v>53</v>
      </c>
      <c r="AP42">
        <v>23</v>
      </c>
      <c r="AQ42">
        <v>55</v>
      </c>
      <c r="AR42">
        <v>23.5</v>
      </c>
      <c r="AS42">
        <v>44</v>
      </c>
      <c r="AT42">
        <v>17</v>
      </c>
      <c r="AU42">
        <v>63</v>
      </c>
      <c r="AV42">
        <v>63</v>
      </c>
      <c r="AW42">
        <v>13</v>
      </c>
      <c r="AX42">
        <v>1</v>
      </c>
      <c r="AY42">
        <v>14</v>
      </c>
      <c r="AZ42">
        <v>2</v>
      </c>
      <c r="BA42" s="1" t="s">
        <v>234</v>
      </c>
    </row>
    <row r="43" spans="1:53" x14ac:dyDescent="0.3">
      <c r="A43" s="1" t="s">
        <v>238</v>
      </c>
      <c r="B43">
        <v>72</v>
      </c>
      <c r="C43" s="1" t="s">
        <v>239</v>
      </c>
      <c r="D43" s="1" t="s">
        <v>240</v>
      </c>
      <c r="E43" s="1" t="s">
        <v>241</v>
      </c>
      <c r="F43" t="s">
        <v>242</v>
      </c>
      <c r="G43">
        <v>2939</v>
      </c>
      <c r="H43">
        <v>72</v>
      </c>
      <c r="I43" t="s">
        <v>58</v>
      </c>
      <c r="J43" t="s">
        <v>59</v>
      </c>
      <c r="K43" t="s">
        <v>60</v>
      </c>
      <c r="L43">
        <v>0</v>
      </c>
      <c r="M43" t="s">
        <v>61</v>
      </c>
      <c r="P43">
        <v>157</v>
      </c>
      <c r="Q43">
        <v>91</v>
      </c>
      <c r="R43">
        <v>56</v>
      </c>
      <c r="S43">
        <v>164</v>
      </c>
      <c r="T43">
        <v>69.8</v>
      </c>
      <c r="U43">
        <v>25.9518144</v>
      </c>
      <c r="V43">
        <v>30</v>
      </c>
      <c r="W43">
        <v>16</v>
      </c>
      <c r="X43">
        <v>11</v>
      </c>
      <c r="Y43">
        <v>4.3333333329999997</v>
      </c>
      <c r="Z43">
        <v>4.6666666670000003</v>
      </c>
      <c r="AA43">
        <v>4.4166666670000003</v>
      </c>
      <c r="AB43">
        <v>3.5</v>
      </c>
      <c r="AC43">
        <v>0.33</v>
      </c>
      <c r="AD43">
        <v>0.5</v>
      </c>
      <c r="AE43">
        <v>2</v>
      </c>
      <c r="AF43">
        <v>1</v>
      </c>
      <c r="AG43">
        <v>18</v>
      </c>
      <c r="AH43">
        <v>3</v>
      </c>
      <c r="AI43">
        <v>4</v>
      </c>
      <c r="AJ43">
        <v>14</v>
      </c>
      <c r="AK43">
        <v>9</v>
      </c>
      <c r="AL43">
        <v>14</v>
      </c>
      <c r="AM43">
        <v>8</v>
      </c>
      <c r="AN43">
        <v>24</v>
      </c>
      <c r="AO43">
        <v>79</v>
      </c>
      <c r="AP43">
        <v>55</v>
      </c>
      <c r="AQ43">
        <v>44</v>
      </c>
      <c r="AR43">
        <v>18.75</v>
      </c>
      <c r="AS43">
        <v>33</v>
      </c>
      <c r="AT43">
        <v>17</v>
      </c>
      <c r="AU43">
        <v>73</v>
      </c>
      <c r="AV43">
        <v>173</v>
      </c>
      <c r="AW43">
        <v>18</v>
      </c>
      <c r="AX43">
        <v>3</v>
      </c>
      <c r="AY43">
        <v>10</v>
      </c>
      <c r="AZ43">
        <v>4</v>
      </c>
      <c r="BA43" s="1" t="s">
        <v>238</v>
      </c>
    </row>
    <row r="44" spans="1:53" x14ac:dyDescent="0.3">
      <c r="A44" s="1" t="s">
        <v>243</v>
      </c>
      <c r="B44">
        <v>67</v>
      </c>
      <c r="C44" s="1" t="s">
        <v>244</v>
      </c>
      <c r="D44" s="1" t="s">
        <v>245</v>
      </c>
      <c r="E44">
        <v>2.1896896807550998</v>
      </c>
      <c r="F44" t="s">
        <v>246</v>
      </c>
      <c r="G44">
        <v>2954</v>
      </c>
      <c r="H44">
        <v>67</v>
      </c>
      <c r="I44" t="s">
        <v>68</v>
      </c>
      <c r="J44" t="s">
        <v>59</v>
      </c>
      <c r="K44" t="s">
        <v>76</v>
      </c>
      <c r="L44">
        <v>1</v>
      </c>
      <c r="M44" t="s">
        <v>61</v>
      </c>
      <c r="P44">
        <v>143</v>
      </c>
      <c r="Q44">
        <v>77</v>
      </c>
      <c r="R44">
        <v>45</v>
      </c>
      <c r="S44">
        <v>182.88</v>
      </c>
      <c r="T44">
        <v>77.110699999999994</v>
      </c>
      <c r="U44">
        <v>23.05590742</v>
      </c>
      <c r="V44">
        <v>26</v>
      </c>
      <c r="W44">
        <v>15</v>
      </c>
      <c r="X44">
        <v>7</v>
      </c>
      <c r="Y44">
        <v>4.6666666670000003</v>
      </c>
      <c r="Z44">
        <v>4.0833333329999997</v>
      </c>
      <c r="AA44">
        <v>2.9166666669999999</v>
      </c>
      <c r="AB44">
        <v>2.6666666669999999</v>
      </c>
      <c r="AC44">
        <v>1</v>
      </c>
      <c r="AD44">
        <v>0.66666666699999999</v>
      </c>
      <c r="AE44">
        <v>6</v>
      </c>
      <c r="AF44">
        <v>3</v>
      </c>
      <c r="AG44">
        <v>32</v>
      </c>
      <c r="AH44">
        <v>8</v>
      </c>
      <c r="AI44">
        <v>7</v>
      </c>
      <c r="AJ44">
        <v>11</v>
      </c>
      <c r="AK44">
        <v>8</v>
      </c>
      <c r="AL44">
        <v>7</v>
      </c>
      <c r="AM44">
        <v>6</v>
      </c>
      <c r="AN44">
        <v>36</v>
      </c>
      <c r="AO44">
        <v>104</v>
      </c>
      <c r="AP44">
        <v>68</v>
      </c>
      <c r="AQ44">
        <v>50</v>
      </c>
      <c r="AR44">
        <v>18.75</v>
      </c>
      <c r="AS44">
        <v>40</v>
      </c>
      <c r="AT44">
        <v>17</v>
      </c>
      <c r="AU44">
        <v>93</v>
      </c>
      <c r="AV44">
        <v>110</v>
      </c>
      <c r="AW44">
        <v>13</v>
      </c>
      <c r="AX44">
        <v>1</v>
      </c>
      <c r="AY44">
        <v>6</v>
      </c>
      <c r="AZ44">
        <v>0</v>
      </c>
      <c r="BA44" s="1" t="s">
        <v>243</v>
      </c>
    </row>
    <row r="45" spans="1:53" x14ac:dyDescent="0.3">
      <c r="A45" s="1" t="s">
        <v>247</v>
      </c>
      <c r="B45">
        <v>82</v>
      </c>
      <c r="C45" s="1" t="s">
        <v>248</v>
      </c>
      <c r="D45" s="1" t="s">
        <v>249</v>
      </c>
      <c r="E45" s="1" t="s">
        <v>250</v>
      </c>
      <c r="F45" t="s">
        <v>251</v>
      </c>
      <c r="G45">
        <v>2967</v>
      </c>
      <c r="H45">
        <v>82</v>
      </c>
      <c r="I45" t="s">
        <v>58</v>
      </c>
      <c r="J45" t="s">
        <v>69</v>
      </c>
      <c r="K45" t="s">
        <v>252</v>
      </c>
      <c r="L45">
        <v>3</v>
      </c>
      <c r="M45" t="s">
        <v>61</v>
      </c>
      <c r="P45">
        <v>143</v>
      </c>
      <c r="Q45">
        <v>77</v>
      </c>
      <c r="R45">
        <v>50</v>
      </c>
      <c r="S45">
        <v>175.26</v>
      </c>
      <c r="T45">
        <v>71.667599999999993</v>
      </c>
      <c r="U45">
        <v>23.332283589999999</v>
      </c>
      <c r="V45">
        <v>18</v>
      </c>
      <c r="W45">
        <v>16</v>
      </c>
      <c r="X45">
        <v>1</v>
      </c>
      <c r="Y45">
        <v>2.75</v>
      </c>
      <c r="Z45">
        <v>3.25</v>
      </c>
      <c r="AA45">
        <v>1.75</v>
      </c>
      <c r="AB45">
        <v>1.5</v>
      </c>
      <c r="AC45">
        <v>0</v>
      </c>
      <c r="AD45">
        <v>0.5</v>
      </c>
      <c r="AE45">
        <v>2</v>
      </c>
      <c r="AF45">
        <v>0</v>
      </c>
      <c r="AG45">
        <v>28</v>
      </c>
      <c r="AH45">
        <v>2</v>
      </c>
      <c r="AI45">
        <v>6</v>
      </c>
      <c r="AJ45">
        <v>10</v>
      </c>
      <c r="AK45">
        <v>8</v>
      </c>
      <c r="AL45">
        <v>7</v>
      </c>
      <c r="AM45">
        <v>5</v>
      </c>
      <c r="AN45">
        <v>44</v>
      </c>
      <c r="AO45">
        <v>120</v>
      </c>
      <c r="AP45">
        <v>76</v>
      </c>
      <c r="AQ45">
        <v>36</v>
      </c>
      <c r="AR45">
        <v>16.25</v>
      </c>
      <c r="AS45">
        <v>33</v>
      </c>
      <c r="AT45">
        <v>17</v>
      </c>
      <c r="AU45">
        <v>407</v>
      </c>
      <c r="AV45">
        <v>500</v>
      </c>
      <c r="AW45">
        <v>20</v>
      </c>
      <c r="AX45">
        <v>2</v>
      </c>
      <c r="AY45">
        <v>14</v>
      </c>
      <c r="AZ45">
        <v>3</v>
      </c>
      <c r="BA45" s="1" t="s">
        <v>247</v>
      </c>
    </row>
    <row r="46" spans="1:53" x14ac:dyDescent="0.3">
      <c r="A46" s="1" t="s">
        <v>253</v>
      </c>
      <c r="B46">
        <v>74</v>
      </c>
      <c r="C46" s="1" t="s">
        <v>254</v>
      </c>
      <c r="D46" s="1" t="s">
        <v>255</v>
      </c>
      <c r="E46" s="1" t="s">
        <v>256</v>
      </c>
      <c r="F46" t="s">
        <v>257</v>
      </c>
      <c r="G46">
        <v>2987</v>
      </c>
      <c r="H46">
        <v>74</v>
      </c>
      <c r="I46" t="s">
        <v>58</v>
      </c>
      <c r="J46" t="s">
        <v>59</v>
      </c>
      <c r="K46" t="s">
        <v>156</v>
      </c>
      <c r="L46">
        <v>2</v>
      </c>
      <c r="M46" t="s">
        <v>61</v>
      </c>
      <c r="P46">
        <v>138</v>
      </c>
      <c r="Q46">
        <v>72</v>
      </c>
      <c r="R46">
        <v>47</v>
      </c>
      <c r="S46">
        <v>172.72</v>
      </c>
      <c r="T46">
        <v>72.574799999999996</v>
      </c>
      <c r="U46">
        <v>24.327674089999999</v>
      </c>
      <c r="V46">
        <v>23</v>
      </c>
      <c r="W46">
        <v>15</v>
      </c>
      <c r="X46">
        <v>11</v>
      </c>
      <c r="Y46">
        <v>5.25</v>
      </c>
      <c r="Z46">
        <v>4.5833333329999997</v>
      </c>
      <c r="AA46">
        <v>3.8333333330000001</v>
      </c>
      <c r="AB46">
        <v>3.5</v>
      </c>
      <c r="AC46">
        <v>0.33</v>
      </c>
      <c r="AD46">
        <v>0.66666666699999999</v>
      </c>
      <c r="AE46">
        <v>5</v>
      </c>
      <c r="AF46">
        <v>4</v>
      </c>
      <c r="AG46">
        <v>32</v>
      </c>
      <c r="AH46">
        <v>4</v>
      </c>
      <c r="AI46">
        <v>3</v>
      </c>
      <c r="AJ46">
        <v>11</v>
      </c>
      <c r="AK46">
        <v>9</v>
      </c>
      <c r="AL46">
        <v>7</v>
      </c>
      <c r="AM46">
        <v>5</v>
      </c>
      <c r="AN46">
        <v>36</v>
      </c>
      <c r="AO46">
        <v>120</v>
      </c>
      <c r="AP46">
        <v>84</v>
      </c>
      <c r="AQ46">
        <v>28</v>
      </c>
      <c r="AR46">
        <v>10.75</v>
      </c>
      <c r="AS46">
        <v>25</v>
      </c>
      <c r="AT46">
        <v>17</v>
      </c>
      <c r="AU46">
        <v>233</v>
      </c>
      <c r="AV46">
        <v>367</v>
      </c>
      <c r="AW46">
        <v>12</v>
      </c>
      <c r="AX46">
        <v>2</v>
      </c>
      <c r="AY46">
        <v>9</v>
      </c>
      <c r="AZ46">
        <v>2</v>
      </c>
      <c r="BA46" s="1" t="s">
        <v>253</v>
      </c>
    </row>
    <row r="47" spans="1:53" x14ac:dyDescent="0.3">
      <c r="A47" s="1" t="s">
        <v>258</v>
      </c>
      <c r="B47">
        <v>68</v>
      </c>
      <c r="C47" s="1" t="s">
        <v>259</v>
      </c>
      <c r="D47">
        <v>-7.7804031372070304</v>
      </c>
      <c r="E47">
        <v>-8.5323871396019602</v>
      </c>
      <c r="F47" t="s">
        <v>260</v>
      </c>
      <c r="G47">
        <v>3010</v>
      </c>
      <c r="H47">
        <v>68</v>
      </c>
      <c r="I47" t="s">
        <v>58</v>
      </c>
      <c r="J47" t="s">
        <v>59</v>
      </c>
      <c r="K47" t="s">
        <v>60</v>
      </c>
      <c r="L47">
        <v>0</v>
      </c>
      <c r="M47" t="s">
        <v>61</v>
      </c>
      <c r="P47">
        <v>152</v>
      </c>
      <c r="Q47">
        <v>78</v>
      </c>
      <c r="R47">
        <v>69</v>
      </c>
      <c r="S47">
        <v>165.1</v>
      </c>
      <c r="T47">
        <v>96.161600000000007</v>
      </c>
      <c r="U47">
        <v>35.278290669999997</v>
      </c>
      <c r="V47">
        <v>26</v>
      </c>
      <c r="W47">
        <v>15</v>
      </c>
      <c r="X47">
        <v>15</v>
      </c>
      <c r="Y47">
        <v>5</v>
      </c>
      <c r="Z47">
        <v>5.9166666670000003</v>
      </c>
      <c r="AA47">
        <v>5.0833333329999997</v>
      </c>
      <c r="AB47">
        <v>4.75</v>
      </c>
      <c r="AC47">
        <v>0.67</v>
      </c>
      <c r="AD47">
        <v>0.33333333300000001</v>
      </c>
      <c r="AE47">
        <v>11</v>
      </c>
      <c r="AF47">
        <v>10</v>
      </c>
      <c r="AG47">
        <v>46</v>
      </c>
      <c r="AH47">
        <v>8</v>
      </c>
      <c r="AI47">
        <v>2</v>
      </c>
      <c r="AJ47">
        <v>10</v>
      </c>
      <c r="AK47">
        <v>8</v>
      </c>
      <c r="AL47">
        <v>6</v>
      </c>
      <c r="AM47">
        <v>5</v>
      </c>
      <c r="AN47">
        <v>23</v>
      </c>
      <c r="AO47">
        <v>178</v>
      </c>
      <c r="AP47">
        <v>155</v>
      </c>
      <c r="AQ47">
        <v>42</v>
      </c>
      <c r="AR47">
        <v>12.75</v>
      </c>
      <c r="AS47">
        <v>20</v>
      </c>
      <c r="AT47">
        <v>17</v>
      </c>
      <c r="AU47">
        <v>90</v>
      </c>
      <c r="AV47">
        <v>183</v>
      </c>
      <c r="AW47">
        <v>18</v>
      </c>
      <c r="AX47">
        <v>2</v>
      </c>
      <c r="AY47">
        <v>13</v>
      </c>
      <c r="AZ47">
        <v>4</v>
      </c>
      <c r="BA47" s="1" t="s">
        <v>258</v>
      </c>
    </row>
    <row r="48" spans="1:53" x14ac:dyDescent="0.3">
      <c r="A48" s="1" t="s">
        <v>261</v>
      </c>
      <c r="B48">
        <v>31</v>
      </c>
      <c r="C48" s="1" t="s">
        <v>262</v>
      </c>
      <c r="D48" s="1" t="s">
        <v>263</v>
      </c>
      <c r="E48" s="1" t="s">
        <v>264</v>
      </c>
      <c r="F48" t="s">
        <v>265</v>
      </c>
      <c r="G48">
        <v>2320</v>
      </c>
      <c r="H48">
        <v>31</v>
      </c>
      <c r="I48" t="s">
        <v>58</v>
      </c>
      <c r="J48" t="s">
        <v>59</v>
      </c>
      <c r="K48" t="s">
        <v>60</v>
      </c>
      <c r="L48">
        <v>0</v>
      </c>
      <c r="M48" t="s">
        <v>186</v>
      </c>
      <c r="P48">
        <v>120</v>
      </c>
      <c r="Q48">
        <v>80</v>
      </c>
      <c r="R48">
        <v>72</v>
      </c>
      <c r="S48">
        <v>183</v>
      </c>
      <c r="T48">
        <v>81.646600000000007</v>
      </c>
      <c r="U48">
        <v>24.380124819999999</v>
      </c>
      <c r="V48">
        <v>25</v>
      </c>
      <c r="W48">
        <v>15</v>
      </c>
      <c r="X48">
        <v>13</v>
      </c>
      <c r="Y48">
        <v>5.0833333329999997</v>
      </c>
      <c r="Z48">
        <v>4.1666666670000003</v>
      </c>
      <c r="AA48">
        <v>4.9166666670000003</v>
      </c>
      <c r="AB48">
        <v>4.6666666670000003</v>
      </c>
      <c r="AC48">
        <v>0.67</v>
      </c>
      <c r="AD48">
        <v>0.66666666699999999</v>
      </c>
      <c r="AE48">
        <v>14</v>
      </c>
      <c r="AF48">
        <v>14</v>
      </c>
      <c r="AG48">
        <v>61</v>
      </c>
      <c r="AH48">
        <v>5</v>
      </c>
      <c r="AI48">
        <v>0</v>
      </c>
      <c r="AJ48">
        <v>10</v>
      </c>
      <c r="AK48">
        <v>7</v>
      </c>
      <c r="AL48">
        <v>7</v>
      </c>
      <c r="AM48">
        <v>5</v>
      </c>
      <c r="AN48">
        <v>16.5</v>
      </c>
      <c r="AO48">
        <v>52</v>
      </c>
      <c r="AP48">
        <v>35.5</v>
      </c>
      <c r="AQ48">
        <v>74</v>
      </c>
      <c r="AR48">
        <v>10</v>
      </c>
      <c r="AS48">
        <v>18</v>
      </c>
      <c r="AT48">
        <v>17</v>
      </c>
      <c r="AU48">
        <v>24</v>
      </c>
      <c r="AV48">
        <v>73</v>
      </c>
      <c r="AW48">
        <v>39</v>
      </c>
      <c r="AX48">
        <v>0</v>
      </c>
      <c r="AY48">
        <v>42</v>
      </c>
      <c r="AZ48">
        <v>0</v>
      </c>
      <c r="BA48" s="1" t="s">
        <v>261</v>
      </c>
    </row>
    <row r="49" spans="1:53" x14ac:dyDescent="0.3">
      <c r="A49" s="1" t="s">
        <v>266</v>
      </c>
      <c r="B49">
        <v>68</v>
      </c>
      <c r="C49" s="1" t="s">
        <v>267</v>
      </c>
      <c r="D49">
        <v>-1.93375396728515</v>
      </c>
      <c r="E49">
        <v>-2.68573796968009</v>
      </c>
      <c r="F49" t="s">
        <v>268</v>
      </c>
      <c r="G49">
        <v>3017</v>
      </c>
      <c r="H49">
        <v>68</v>
      </c>
      <c r="I49" t="s">
        <v>58</v>
      </c>
      <c r="J49" t="s">
        <v>59</v>
      </c>
      <c r="K49" t="s">
        <v>156</v>
      </c>
      <c r="L49">
        <v>2</v>
      </c>
      <c r="M49" t="s">
        <v>61</v>
      </c>
      <c r="P49">
        <v>119</v>
      </c>
      <c r="Q49">
        <v>72</v>
      </c>
      <c r="R49">
        <v>86</v>
      </c>
      <c r="S49">
        <v>173.99</v>
      </c>
      <c r="T49">
        <v>81.646600000000007</v>
      </c>
      <c r="U49">
        <v>26.97053292</v>
      </c>
      <c r="V49">
        <v>25</v>
      </c>
      <c r="W49">
        <v>15</v>
      </c>
      <c r="X49">
        <v>1</v>
      </c>
      <c r="Y49">
        <v>2.8333333330000001</v>
      </c>
      <c r="Z49">
        <v>4.0833333329999997</v>
      </c>
      <c r="AA49">
        <v>3.5</v>
      </c>
      <c r="AB49">
        <v>1.5</v>
      </c>
      <c r="AC49">
        <v>0.33</v>
      </c>
      <c r="AD49">
        <v>0.33333333300000001</v>
      </c>
      <c r="AE49">
        <v>3</v>
      </c>
      <c r="AF49">
        <v>2</v>
      </c>
      <c r="AG49">
        <v>20</v>
      </c>
      <c r="AH49">
        <v>4</v>
      </c>
      <c r="AI49">
        <v>4</v>
      </c>
      <c r="AJ49">
        <v>10</v>
      </c>
      <c r="AK49">
        <v>7</v>
      </c>
      <c r="AL49">
        <v>7</v>
      </c>
      <c r="AM49">
        <v>5</v>
      </c>
      <c r="AN49">
        <v>52</v>
      </c>
      <c r="AO49">
        <v>81</v>
      </c>
      <c r="AP49">
        <v>29</v>
      </c>
      <c r="AQ49">
        <v>42</v>
      </c>
      <c r="AR49">
        <v>12.25</v>
      </c>
      <c r="AS49">
        <v>19</v>
      </c>
      <c r="AT49">
        <v>17</v>
      </c>
      <c r="AU49">
        <v>117</v>
      </c>
      <c r="AV49">
        <v>273</v>
      </c>
      <c r="AW49">
        <v>12</v>
      </c>
      <c r="AX49">
        <v>3</v>
      </c>
      <c r="AY49">
        <v>7</v>
      </c>
      <c r="AZ49">
        <v>1</v>
      </c>
      <c r="BA49" s="1" t="s">
        <v>266</v>
      </c>
    </row>
    <row r="50" spans="1:53" x14ac:dyDescent="0.3">
      <c r="A50" s="1" t="s">
        <v>269</v>
      </c>
      <c r="B50">
        <v>42</v>
      </c>
      <c r="C50" s="1" t="s">
        <v>270</v>
      </c>
      <c r="D50" s="1" t="s">
        <v>271</v>
      </c>
      <c r="E50">
        <v>1.2025705778654201</v>
      </c>
      <c r="F50" t="s">
        <v>272</v>
      </c>
      <c r="G50">
        <v>3028</v>
      </c>
      <c r="H50">
        <v>42</v>
      </c>
      <c r="I50" t="s">
        <v>68</v>
      </c>
      <c r="J50" t="s">
        <v>59</v>
      </c>
      <c r="K50" t="s">
        <v>76</v>
      </c>
      <c r="L50">
        <v>1</v>
      </c>
      <c r="M50" t="s">
        <v>61</v>
      </c>
      <c r="P50">
        <v>102</v>
      </c>
      <c r="Q50">
        <v>78</v>
      </c>
      <c r="R50">
        <v>65</v>
      </c>
      <c r="S50">
        <v>192</v>
      </c>
      <c r="T50">
        <v>88.450500000000005</v>
      </c>
      <c r="U50">
        <v>23.993733720000002</v>
      </c>
      <c r="V50">
        <v>29</v>
      </c>
      <c r="W50">
        <v>16</v>
      </c>
      <c r="X50">
        <v>14</v>
      </c>
      <c r="Y50">
        <v>4.75</v>
      </c>
      <c r="Z50">
        <v>3.8333333330000001</v>
      </c>
      <c r="AA50">
        <v>4.5833333329999997</v>
      </c>
      <c r="AB50">
        <v>3.3333333330000001</v>
      </c>
      <c r="AC50">
        <v>0.67</v>
      </c>
      <c r="AD50">
        <v>0.66666666699999999</v>
      </c>
      <c r="AE50">
        <v>12</v>
      </c>
      <c r="AF50">
        <v>10</v>
      </c>
      <c r="AG50">
        <v>57</v>
      </c>
      <c r="AH50">
        <v>3</v>
      </c>
      <c r="AI50">
        <v>2</v>
      </c>
      <c r="AJ50">
        <v>11</v>
      </c>
      <c r="AK50">
        <v>9</v>
      </c>
      <c r="AL50">
        <v>12</v>
      </c>
      <c r="AM50">
        <v>8</v>
      </c>
      <c r="AN50">
        <v>22</v>
      </c>
      <c r="AO50">
        <v>46</v>
      </c>
      <c r="AP50">
        <v>24</v>
      </c>
      <c r="AQ50">
        <v>49</v>
      </c>
      <c r="AR50">
        <v>17.75</v>
      </c>
      <c r="AS50">
        <v>28</v>
      </c>
      <c r="AT50">
        <v>17</v>
      </c>
      <c r="AU50">
        <v>44</v>
      </c>
      <c r="AV50">
        <v>73</v>
      </c>
      <c r="AW50">
        <v>22</v>
      </c>
      <c r="AX50">
        <v>1</v>
      </c>
      <c r="AY50">
        <v>10</v>
      </c>
      <c r="AZ50">
        <v>2</v>
      </c>
      <c r="BA50" s="1" t="s">
        <v>269</v>
      </c>
    </row>
    <row r="51" spans="1:53" x14ac:dyDescent="0.3">
      <c r="A51" s="1" t="s">
        <v>273</v>
      </c>
      <c r="B51">
        <v>31</v>
      </c>
      <c r="C51" s="1" t="s">
        <v>274</v>
      </c>
      <c r="D51" s="1" t="s">
        <v>275</v>
      </c>
      <c r="E51" s="1" t="s">
        <v>276</v>
      </c>
      <c r="F51" t="s">
        <v>277</v>
      </c>
      <c r="G51">
        <v>3033</v>
      </c>
      <c r="H51">
        <v>31</v>
      </c>
      <c r="I51" t="s">
        <v>58</v>
      </c>
      <c r="J51" t="s">
        <v>69</v>
      </c>
      <c r="K51" t="s">
        <v>76</v>
      </c>
      <c r="L51">
        <v>1</v>
      </c>
      <c r="M51" t="s">
        <v>61</v>
      </c>
      <c r="P51">
        <v>140</v>
      </c>
      <c r="Q51">
        <v>93</v>
      </c>
      <c r="R51">
        <v>85</v>
      </c>
      <c r="S51">
        <v>162.56</v>
      </c>
      <c r="T51">
        <v>89.811300000000003</v>
      </c>
      <c r="U51">
        <v>33.986277690000001</v>
      </c>
      <c r="V51">
        <v>29</v>
      </c>
      <c r="W51">
        <v>16</v>
      </c>
      <c r="X51">
        <v>10</v>
      </c>
      <c r="Y51">
        <v>6.75</v>
      </c>
      <c r="Z51">
        <v>6</v>
      </c>
      <c r="AA51">
        <v>6.5833333329999997</v>
      </c>
      <c r="AB51">
        <v>5.3333333329999997</v>
      </c>
      <c r="AC51">
        <v>1</v>
      </c>
      <c r="AD51">
        <v>1</v>
      </c>
      <c r="AE51">
        <v>12</v>
      </c>
      <c r="AF51">
        <v>12</v>
      </c>
      <c r="AG51">
        <v>59</v>
      </c>
      <c r="AH51">
        <v>7</v>
      </c>
      <c r="AI51">
        <v>3</v>
      </c>
      <c r="AJ51">
        <v>8</v>
      </c>
      <c r="AK51">
        <v>7</v>
      </c>
      <c r="AL51">
        <v>6</v>
      </c>
      <c r="AM51">
        <v>5</v>
      </c>
      <c r="AN51">
        <v>26</v>
      </c>
      <c r="AO51">
        <v>43</v>
      </c>
      <c r="AP51">
        <v>17</v>
      </c>
      <c r="AQ51">
        <v>59</v>
      </c>
      <c r="AR51">
        <v>19.25</v>
      </c>
      <c r="AS51">
        <v>29</v>
      </c>
      <c r="AT51">
        <v>17</v>
      </c>
      <c r="AU51">
        <v>27</v>
      </c>
      <c r="AV51">
        <v>84</v>
      </c>
      <c r="AW51">
        <v>22</v>
      </c>
      <c r="AX51">
        <v>3</v>
      </c>
      <c r="AY51">
        <v>21</v>
      </c>
      <c r="AZ51">
        <v>4</v>
      </c>
      <c r="BA51" s="1" t="s">
        <v>273</v>
      </c>
    </row>
    <row r="52" spans="1:53" x14ac:dyDescent="0.3">
      <c r="A52" s="1" t="s">
        <v>278</v>
      </c>
      <c r="B52">
        <v>70</v>
      </c>
      <c r="C52">
        <v>64.369850158691406</v>
      </c>
      <c r="D52">
        <v>-5.6301498413085902</v>
      </c>
      <c r="E52">
        <v>-6.2206356289489104</v>
      </c>
      <c r="F52" t="s">
        <v>279</v>
      </c>
      <c r="G52">
        <v>3034</v>
      </c>
      <c r="H52">
        <v>70</v>
      </c>
      <c r="I52" t="s">
        <v>93</v>
      </c>
      <c r="J52" t="s">
        <v>69</v>
      </c>
      <c r="K52" t="s">
        <v>60</v>
      </c>
      <c r="L52">
        <v>0</v>
      </c>
      <c r="M52" t="s">
        <v>61</v>
      </c>
      <c r="P52">
        <v>158</v>
      </c>
      <c r="Q52">
        <v>89</v>
      </c>
      <c r="R52">
        <v>78</v>
      </c>
      <c r="S52">
        <v>158</v>
      </c>
      <c r="T52">
        <v>62</v>
      </c>
      <c r="U52">
        <v>24.835763499999999</v>
      </c>
      <c r="V52">
        <v>26</v>
      </c>
      <c r="W52">
        <v>16</v>
      </c>
      <c r="X52">
        <v>17</v>
      </c>
      <c r="Y52">
        <v>5.4166666670000003</v>
      </c>
      <c r="Z52">
        <v>5.0833333329999997</v>
      </c>
      <c r="AA52">
        <v>5.25</v>
      </c>
      <c r="AB52">
        <v>4.5</v>
      </c>
      <c r="AC52">
        <v>1</v>
      </c>
      <c r="AD52">
        <v>0.66666666699999999</v>
      </c>
      <c r="AE52">
        <v>10</v>
      </c>
      <c r="AF52">
        <v>11</v>
      </c>
      <c r="AG52">
        <v>45</v>
      </c>
      <c r="AH52">
        <v>9</v>
      </c>
      <c r="AI52">
        <v>2</v>
      </c>
      <c r="AJ52">
        <v>7</v>
      </c>
      <c r="AK52">
        <v>6</v>
      </c>
      <c r="AL52">
        <v>9</v>
      </c>
      <c r="AM52">
        <v>6</v>
      </c>
      <c r="AN52">
        <v>41</v>
      </c>
      <c r="AO52">
        <v>125</v>
      </c>
      <c r="AP52">
        <v>84</v>
      </c>
      <c r="AQ52">
        <v>35</v>
      </c>
      <c r="AR52">
        <v>12.75</v>
      </c>
      <c r="AS52">
        <v>17</v>
      </c>
      <c r="AT52">
        <v>17</v>
      </c>
      <c r="AU52">
        <v>270</v>
      </c>
      <c r="AV52">
        <v>330</v>
      </c>
      <c r="AW52">
        <v>23</v>
      </c>
      <c r="AX52">
        <v>4</v>
      </c>
      <c r="AY52">
        <v>23</v>
      </c>
      <c r="AZ52">
        <v>3</v>
      </c>
      <c r="BA52" s="1" t="s">
        <v>278</v>
      </c>
    </row>
    <row r="53" spans="1:53" x14ac:dyDescent="0.3">
      <c r="A53" s="1" t="s">
        <v>280</v>
      </c>
      <c r="B53">
        <v>45</v>
      </c>
      <c r="C53">
        <v>42.367443084716797</v>
      </c>
      <c r="D53">
        <v>-2.6325569152832</v>
      </c>
      <c r="E53">
        <v>-5.2417703873561701</v>
      </c>
      <c r="F53" t="s">
        <v>281</v>
      </c>
      <c r="G53">
        <v>3045</v>
      </c>
      <c r="H53">
        <v>45</v>
      </c>
      <c r="I53" t="s">
        <v>68</v>
      </c>
      <c r="J53" t="s">
        <v>69</v>
      </c>
      <c r="K53" t="s">
        <v>76</v>
      </c>
      <c r="L53">
        <v>1</v>
      </c>
      <c r="M53" t="s">
        <v>61</v>
      </c>
      <c r="P53">
        <v>119</v>
      </c>
      <c r="Q53">
        <v>81</v>
      </c>
      <c r="R53">
        <v>71</v>
      </c>
      <c r="S53">
        <v>154.94</v>
      </c>
      <c r="T53">
        <v>70.3</v>
      </c>
      <c r="U53">
        <v>29.28385325</v>
      </c>
      <c r="V53">
        <v>25</v>
      </c>
      <c r="W53">
        <v>16</v>
      </c>
      <c r="X53">
        <v>11</v>
      </c>
      <c r="Y53">
        <v>4.0833333329999997</v>
      </c>
      <c r="Z53">
        <v>4.0833333329999997</v>
      </c>
      <c r="AA53">
        <v>4.25</v>
      </c>
      <c r="AB53">
        <v>4</v>
      </c>
      <c r="AC53">
        <v>1</v>
      </c>
      <c r="AD53">
        <v>1</v>
      </c>
      <c r="AE53">
        <v>12</v>
      </c>
      <c r="AF53">
        <v>11</v>
      </c>
      <c r="AG53">
        <v>53</v>
      </c>
      <c r="AH53">
        <v>9</v>
      </c>
      <c r="AI53">
        <v>3</v>
      </c>
      <c r="AJ53">
        <v>12</v>
      </c>
      <c r="AK53">
        <v>9</v>
      </c>
      <c r="AL53">
        <v>10</v>
      </c>
      <c r="AM53">
        <v>6</v>
      </c>
      <c r="AN53">
        <v>27</v>
      </c>
      <c r="AO53">
        <v>56</v>
      </c>
      <c r="AP53">
        <v>29</v>
      </c>
      <c r="AQ53">
        <v>63</v>
      </c>
      <c r="AR53">
        <v>11.5</v>
      </c>
      <c r="AS53">
        <v>18</v>
      </c>
      <c r="AT53">
        <v>17</v>
      </c>
      <c r="AU53">
        <v>57</v>
      </c>
      <c r="AV53">
        <v>103</v>
      </c>
      <c r="AW53">
        <v>24</v>
      </c>
      <c r="AX53">
        <v>1</v>
      </c>
      <c r="AY53">
        <v>24</v>
      </c>
      <c r="AZ53">
        <v>6</v>
      </c>
      <c r="BA53" s="1" t="s">
        <v>280</v>
      </c>
    </row>
    <row r="54" spans="1:53" x14ac:dyDescent="0.3">
      <c r="A54" s="1" t="s">
        <v>282</v>
      </c>
      <c r="B54">
        <v>41</v>
      </c>
      <c r="C54" s="1" t="s">
        <v>283</v>
      </c>
      <c r="D54" s="1" t="s">
        <v>284</v>
      </c>
      <c r="E54" s="1" t="s">
        <v>285</v>
      </c>
      <c r="F54" t="s">
        <v>286</v>
      </c>
      <c r="G54">
        <v>3069</v>
      </c>
      <c r="H54">
        <v>41</v>
      </c>
      <c r="I54" t="s">
        <v>93</v>
      </c>
      <c r="J54" t="s">
        <v>59</v>
      </c>
      <c r="K54" t="s">
        <v>60</v>
      </c>
      <c r="L54">
        <v>0</v>
      </c>
      <c r="M54" t="s">
        <v>61</v>
      </c>
      <c r="P54">
        <v>120</v>
      </c>
      <c r="Q54">
        <v>89</v>
      </c>
      <c r="R54">
        <v>56</v>
      </c>
      <c r="S54">
        <v>170.18</v>
      </c>
      <c r="T54">
        <v>68.038899999999998</v>
      </c>
      <c r="U54">
        <v>23.49309555</v>
      </c>
      <c r="V54">
        <v>30</v>
      </c>
      <c r="W54">
        <v>16</v>
      </c>
      <c r="X54">
        <v>17</v>
      </c>
      <c r="Y54">
        <v>5</v>
      </c>
      <c r="Z54">
        <v>5.9166666670000003</v>
      </c>
      <c r="AA54">
        <v>5.4166666670000003</v>
      </c>
      <c r="AB54">
        <v>4</v>
      </c>
      <c r="AC54">
        <v>1</v>
      </c>
      <c r="AD54">
        <v>0.83333333300000001</v>
      </c>
      <c r="AE54">
        <v>10</v>
      </c>
      <c r="AF54">
        <v>10</v>
      </c>
      <c r="AG54">
        <v>47</v>
      </c>
      <c r="AH54">
        <v>8</v>
      </c>
      <c r="AI54">
        <v>3</v>
      </c>
      <c r="AJ54">
        <v>10</v>
      </c>
      <c r="AK54">
        <v>7</v>
      </c>
      <c r="AL54">
        <v>10</v>
      </c>
      <c r="AM54">
        <v>7</v>
      </c>
      <c r="AN54">
        <v>19</v>
      </c>
      <c r="AO54">
        <v>58</v>
      </c>
      <c r="AP54">
        <v>39</v>
      </c>
      <c r="AQ54">
        <v>88</v>
      </c>
      <c r="AR54">
        <v>23.75</v>
      </c>
      <c r="AS54">
        <v>48</v>
      </c>
      <c r="AT54">
        <v>17</v>
      </c>
      <c r="AU54">
        <v>44</v>
      </c>
      <c r="AV54">
        <v>44</v>
      </c>
      <c r="AW54">
        <v>27</v>
      </c>
      <c r="AX54">
        <v>2</v>
      </c>
      <c r="AY54">
        <v>23</v>
      </c>
      <c r="AZ54">
        <v>2</v>
      </c>
      <c r="BA54" s="1" t="s">
        <v>282</v>
      </c>
    </row>
    <row r="55" spans="1:53" x14ac:dyDescent="0.3">
      <c r="A55" s="1" t="s">
        <v>287</v>
      </c>
      <c r="B55" s="1" t="s">
        <v>288</v>
      </c>
      <c r="C55" s="1" t="s">
        <v>289</v>
      </c>
      <c r="D55" s="1" t="s">
        <v>290</v>
      </c>
      <c r="E55" s="1" t="s">
        <v>291</v>
      </c>
      <c r="F55" t="s">
        <v>292</v>
      </c>
      <c r="G55">
        <v>3225</v>
      </c>
      <c r="H55">
        <v>67.040000000000006</v>
      </c>
      <c r="I55" t="s">
        <v>83</v>
      </c>
      <c r="J55" t="s">
        <v>59</v>
      </c>
      <c r="K55" t="s">
        <v>76</v>
      </c>
      <c r="L55">
        <v>1</v>
      </c>
      <c r="M55" t="s">
        <v>61</v>
      </c>
      <c r="P55">
        <v>143</v>
      </c>
      <c r="Q55">
        <v>81</v>
      </c>
      <c r="R55">
        <v>53</v>
      </c>
      <c r="S55">
        <v>190.5</v>
      </c>
      <c r="T55">
        <v>81.650000000000006</v>
      </c>
      <c r="U55">
        <v>22.499156110000001</v>
      </c>
      <c r="V55">
        <v>28</v>
      </c>
      <c r="W55">
        <v>15</v>
      </c>
      <c r="X55">
        <v>16</v>
      </c>
      <c r="Y55">
        <v>5.1666666670000003</v>
      </c>
      <c r="Z55">
        <v>4.3333333329999997</v>
      </c>
      <c r="AA55">
        <v>4.8333333329999997</v>
      </c>
      <c r="AB55">
        <v>4.9166666670000003</v>
      </c>
      <c r="AC55">
        <v>0.67</v>
      </c>
      <c r="AD55">
        <v>0.5</v>
      </c>
      <c r="AE55">
        <v>8</v>
      </c>
      <c r="AF55">
        <v>10</v>
      </c>
      <c r="AG55">
        <v>45</v>
      </c>
      <c r="AH55">
        <v>7</v>
      </c>
      <c r="AI55">
        <v>2</v>
      </c>
      <c r="AJ55">
        <v>8</v>
      </c>
      <c r="AK55">
        <v>6</v>
      </c>
      <c r="AL55">
        <v>9</v>
      </c>
      <c r="AM55">
        <v>6</v>
      </c>
      <c r="AN55">
        <v>27</v>
      </c>
      <c r="AO55">
        <v>63</v>
      </c>
      <c r="AP55">
        <v>36</v>
      </c>
      <c r="AQ55">
        <v>44</v>
      </c>
      <c r="AR55">
        <v>16.5</v>
      </c>
      <c r="AS55">
        <v>24</v>
      </c>
      <c r="AT55">
        <v>17</v>
      </c>
      <c r="AU55">
        <v>70</v>
      </c>
      <c r="AV55">
        <v>113</v>
      </c>
      <c r="AW55">
        <v>24</v>
      </c>
      <c r="AX55">
        <v>2</v>
      </c>
      <c r="AY55">
        <v>23</v>
      </c>
      <c r="AZ55">
        <v>2</v>
      </c>
      <c r="BA55" s="1" t="s">
        <v>287</v>
      </c>
    </row>
    <row r="56" spans="1:53" x14ac:dyDescent="0.3">
      <c r="A56" s="1" t="s">
        <v>293</v>
      </c>
      <c r="B56" s="1" t="s">
        <v>294</v>
      </c>
      <c r="C56">
        <v>76.3514404296875</v>
      </c>
      <c r="D56" s="1" t="s">
        <v>295</v>
      </c>
      <c r="E56" s="1" t="s">
        <v>296</v>
      </c>
      <c r="F56" t="s">
        <v>297</v>
      </c>
      <c r="G56">
        <v>3265</v>
      </c>
      <c r="H56">
        <v>71.260000000000005</v>
      </c>
      <c r="I56" t="s">
        <v>83</v>
      </c>
      <c r="J56" t="s">
        <v>59</v>
      </c>
      <c r="K56" t="s">
        <v>76</v>
      </c>
      <c r="L56">
        <v>1</v>
      </c>
      <c r="M56" t="s">
        <v>61</v>
      </c>
      <c r="P56">
        <v>141</v>
      </c>
      <c r="Q56">
        <v>81</v>
      </c>
      <c r="R56">
        <v>49</v>
      </c>
      <c r="S56">
        <v>162.56</v>
      </c>
      <c r="T56">
        <v>68.040000000000006</v>
      </c>
      <c r="U56">
        <v>25.747610089999998</v>
      </c>
      <c r="V56">
        <v>22</v>
      </c>
      <c r="W56">
        <v>16</v>
      </c>
      <c r="X56">
        <v>9</v>
      </c>
      <c r="Y56">
        <v>4.25</v>
      </c>
      <c r="Z56">
        <v>4</v>
      </c>
      <c r="AA56">
        <v>3.4166666669999999</v>
      </c>
      <c r="AB56">
        <v>3.0833333330000001</v>
      </c>
      <c r="AC56">
        <v>1</v>
      </c>
      <c r="AD56">
        <v>0.66666666699999999</v>
      </c>
      <c r="AE56">
        <v>4</v>
      </c>
      <c r="AF56">
        <v>3</v>
      </c>
      <c r="AG56">
        <v>31</v>
      </c>
      <c r="AH56">
        <v>4</v>
      </c>
      <c r="AI56">
        <v>4</v>
      </c>
      <c r="AJ56">
        <v>11</v>
      </c>
      <c r="AK56">
        <v>8</v>
      </c>
      <c r="AL56">
        <v>9</v>
      </c>
      <c r="AM56">
        <v>6</v>
      </c>
      <c r="AN56">
        <v>38</v>
      </c>
      <c r="AO56">
        <v>83</v>
      </c>
      <c r="AP56">
        <v>45</v>
      </c>
      <c r="AQ56">
        <v>29</v>
      </c>
      <c r="AR56">
        <v>13.75</v>
      </c>
      <c r="AS56">
        <v>27</v>
      </c>
      <c r="AT56">
        <v>17</v>
      </c>
      <c r="AU56">
        <v>63</v>
      </c>
      <c r="AV56">
        <v>117</v>
      </c>
      <c r="AW56">
        <v>10</v>
      </c>
      <c r="AX56">
        <v>2</v>
      </c>
      <c r="AY56">
        <v>7</v>
      </c>
      <c r="AZ56">
        <v>0</v>
      </c>
      <c r="BA56" s="1" t="s">
        <v>293</v>
      </c>
    </row>
    <row r="57" spans="1:53" x14ac:dyDescent="0.3">
      <c r="A57" s="1" t="s">
        <v>298</v>
      </c>
      <c r="B57" s="1" t="s">
        <v>299</v>
      </c>
      <c r="C57" s="1" t="s">
        <v>300</v>
      </c>
      <c r="D57">
        <v>-6.0581893920898402</v>
      </c>
      <c r="E57">
        <v>-6.8214782202322599</v>
      </c>
      <c r="F57" t="s">
        <v>301</v>
      </c>
      <c r="G57">
        <v>3293</v>
      </c>
      <c r="H57">
        <v>67.86</v>
      </c>
      <c r="I57" t="s">
        <v>68</v>
      </c>
      <c r="J57" t="s">
        <v>59</v>
      </c>
      <c r="K57" t="s">
        <v>76</v>
      </c>
      <c r="L57">
        <v>1</v>
      </c>
      <c r="M57" t="s">
        <v>61</v>
      </c>
      <c r="P57">
        <v>129</v>
      </c>
      <c r="Q57">
        <v>78</v>
      </c>
      <c r="R57">
        <v>63</v>
      </c>
      <c r="S57">
        <v>190.5</v>
      </c>
      <c r="T57">
        <v>70.31</v>
      </c>
      <c r="U57">
        <v>19.374349859999999</v>
      </c>
      <c r="V57">
        <v>29</v>
      </c>
      <c r="W57">
        <v>16</v>
      </c>
      <c r="X57">
        <v>10</v>
      </c>
      <c r="Y57">
        <v>3.8333333330000001</v>
      </c>
      <c r="Z57">
        <v>3.8333333330000001</v>
      </c>
      <c r="AA57">
        <v>3.6666666669999999</v>
      </c>
      <c r="AB57">
        <v>3.8333333330000001</v>
      </c>
      <c r="AC57">
        <v>1</v>
      </c>
      <c r="AD57">
        <v>0.66666666699999999</v>
      </c>
      <c r="AE57">
        <v>7</v>
      </c>
      <c r="AF57">
        <v>7</v>
      </c>
      <c r="AG57">
        <v>61</v>
      </c>
      <c r="AH57">
        <v>4</v>
      </c>
      <c r="AI57">
        <v>4</v>
      </c>
      <c r="AJ57">
        <v>11</v>
      </c>
      <c r="AK57">
        <v>8</v>
      </c>
      <c r="AL57">
        <v>10</v>
      </c>
      <c r="AM57">
        <v>6</v>
      </c>
      <c r="AN57">
        <v>49</v>
      </c>
      <c r="AO57">
        <v>91</v>
      </c>
      <c r="AP57">
        <v>42</v>
      </c>
      <c r="AQ57">
        <v>40</v>
      </c>
      <c r="AR57">
        <v>19.75</v>
      </c>
      <c r="AS57">
        <v>37</v>
      </c>
      <c r="AT57">
        <v>17</v>
      </c>
      <c r="AU57">
        <v>63</v>
      </c>
      <c r="AV57">
        <v>130</v>
      </c>
      <c r="AW57">
        <v>22</v>
      </c>
      <c r="AX57">
        <v>1</v>
      </c>
      <c r="AY57">
        <v>17</v>
      </c>
      <c r="AZ57">
        <v>3</v>
      </c>
      <c r="BA57" s="1" t="s">
        <v>298</v>
      </c>
    </row>
    <row r="58" spans="1:53" x14ac:dyDescent="0.3">
      <c r="A58" s="1" t="s">
        <v>302</v>
      </c>
      <c r="B58" s="1" t="s">
        <v>303</v>
      </c>
      <c r="C58" s="1" t="s">
        <v>304</v>
      </c>
      <c r="D58">
        <v>-4.8244476318359304</v>
      </c>
      <c r="E58">
        <v>-5.8630912118470304</v>
      </c>
      <c r="F58" t="s">
        <v>305</v>
      </c>
      <c r="G58">
        <v>3308</v>
      </c>
      <c r="H58">
        <v>64.45</v>
      </c>
      <c r="I58" t="s">
        <v>58</v>
      </c>
      <c r="J58" t="s">
        <v>69</v>
      </c>
      <c r="K58" t="s">
        <v>76</v>
      </c>
      <c r="L58">
        <v>1</v>
      </c>
      <c r="M58" t="s">
        <v>61</v>
      </c>
      <c r="P58">
        <v>135</v>
      </c>
      <c r="Q58">
        <v>80</v>
      </c>
      <c r="R58">
        <v>69</v>
      </c>
      <c r="S58">
        <v>160.02000000000001</v>
      </c>
      <c r="T58">
        <v>58.06</v>
      </c>
      <c r="U58">
        <v>22.67401864</v>
      </c>
      <c r="V58">
        <v>29</v>
      </c>
      <c r="W58">
        <v>16</v>
      </c>
      <c r="X58">
        <v>16</v>
      </c>
      <c r="Y58">
        <v>5.5833333329999997</v>
      </c>
      <c r="Z58">
        <v>5.3333333329999997</v>
      </c>
      <c r="AA58">
        <v>5.8333333329999997</v>
      </c>
      <c r="AB58">
        <v>5.3333333329999997</v>
      </c>
      <c r="AC58">
        <v>1</v>
      </c>
      <c r="AD58">
        <v>0.66666666699999999</v>
      </c>
      <c r="AE58">
        <v>9</v>
      </c>
      <c r="AF58">
        <v>9</v>
      </c>
      <c r="AG58">
        <v>61</v>
      </c>
      <c r="AH58">
        <v>5</v>
      </c>
      <c r="AI58">
        <v>2</v>
      </c>
      <c r="AJ58">
        <v>12</v>
      </c>
      <c r="AK58">
        <v>9</v>
      </c>
      <c r="AL58">
        <v>12</v>
      </c>
      <c r="AM58">
        <v>8</v>
      </c>
      <c r="AN58">
        <v>18</v>
      </c>
      <c r="AO58">
        <v>63</v>
      </c>
      <c r="AP58">
        <v>45</v>
      </c>
      <c r="AQ58">
        <v>73</v>
      </c>
      <c r="AR58">
        <v>25</v>
      </c>
      <c r="AS58">
        <v>48</v>
      </c>
      <c r="AT58">
        <v>17</v>
      </c>
      <c r="AU58">
        <v>83</v>
      </c>
      <c r="AV58">
        <v>153</v>
      </c>
      <c r="AW58">
        <v>25</v>
      </c>
      <c r="AX58">
        <v>0</v>
      </c>
      <c r="AY58">
        <v>22</v>
      </c>
      <c r="AZ58">
        <v>0</v>
      </c>
      <c r="BA58" s="1" t="s">
        <v>302</v>
      </c>
    </row>
    <row r="59" spans="1:53" x14ac:dyDescent="0.3">
      <c r="A59" s="1" t="s">
        <v>306</v>
      </c>
      <c r="B59">
        <v>69</v>
      </c>
      <c r="C59" s="1" t="s">
        <v>307</v>
      </c>
      <c r="D59">
        <v>-1.5602111816406199</v>
      </c>
      <c r="E59">
        <v>-2.23144607665825</v>
      </c>
      <c r="F59" t="s">
        <v>308</v>
      </c>
      <c r="G59">
        <v>3343</v>
      </c>
      <c r="H59">
        <v>69</v>
      </c>
      <c r="I59" t="s">
        <v>83</v>
      </c>
      <c r="J59" t="s">
        <v>69</v>
      </c>
      <c r="K59" t="s">
        <v>76</v>
      </c>
      <c r="L59">
        <v>1</v>
      </c>
      <c r="M59" t="s">
        <v>61</v>
      </c>
      <c r="P59">
        <v>150</v>
      </c>
      <c r="Q59">
        <v>82</v>
      </c>
      <c r="R59">
        <v>57</v>
      </c>
      <c r="S59">
        <v>162.6</v>
      </c>
      <c r="T59">
        <v>58.97</v>
      </c>
      <c r="U59">
        <v>22.304374339999999</v>
      </c>
      <c r="V59">
        <v>23</v>
      </c>
      <c r="W59">
        <v>16</v>
      </c>
      <c r="X59">
        <v>13</v>
      </c>
      <c r="Y59">
        <v>6.4166666670000003</v>
      </c>
      <c r="Z59">
        <v>5.1666666670000003</v>
      </c>
      <c r="AA59">
        <v>5.6666666670000003</v>
      </c>
      <c r="AB59">
        <v>1.8333333329999999</v>
      </c>
      <c r="AC59">
        <v>0.33</v>
      </c>
      <c r="AD59">
        <v>0.5</v>
      </c>
      <c r="AE59">
        <v>4</v>
      </c>
      <c r="AF59">
        <v>4</v>
      </c>
      <c r="AG59">
        <v>28</v>
      </c>
      <c r="AH59">
        <v>5</v>
      </c>
      <c r="AI59">
        <v>4</v>
      </c>
      <c r="AJ59">
        <v>8</v>
      </c>
      <c r="AK59">
        <v>6</v>
      </c>
      <c r="AL59">
        <v>6</v>
      </c>
      <c r="AM59">
        <v>4</v>
      </c>
      <c r="AN59">
        <v>49</v>
      </c>
      <c r="AO59">
        <v>116</v>
      </c>
      <c r="AP59">
        <v>67</v>
      </c>
      <c r="AQ59">
        <v>40</v>
      </c>
      <c r="AR59">
        <v>13.5</v>
      </c>
      <c r="AS59">
        <v>30</v>
      </c>
      <c r="AT59">
        <v>17</v>
      </c>
      <c r="AU59">
        <v>233</v>
      </c>
      <c r="AV59">
        <v>233</v>
      </c>
      <c r="AW59">
        <v>18</v>
      </c>
      <c r="AX59">
        <v>4</v>
      </c>
      <c r="AY59">
        <v>16</v>
      </c>
      <c r="AZ59">
        <v>3</v>
      </c>
      <c r="BA59" s="1" t="s">
        <v>306</v>
      </c>
    </row>
    <row r="60" spans="1:53" x14ac:dyDescent="0.3">
      <c r="A60" s="1" t="s">
        <v>309</v>
      </c>
      <c r="B60" s="1" t="s">
        <v>310</v>
      </c>
      <c r="C60" s="1" t="s">
        <v>311</v>
      </c>
      <c r="D60">
        <v>-1.5379066467285101</v>
      </c>
      <c r="E60">
        <v>-4.33930308060883</v>
      </c>
      <c r="F60" t="s">
        <v>312</v>
      </c>
      <c r="G60">
        <v>3350</v>
      </c>
      <c r="H60">
        <v>42.62</v>
      </c>
      <c r="I60" t="s">
        <v>58</v>
      </c>
      <c r="J60" t="s">
        <v>59</v>
      </c>
      <c r="K60" t="s">
        <v>76</v>
      </c>
      <c r="L60">
        <v>1</v>
      </c>
      <c r="M60" t="s">
        <v>61</v>
      </c>
      <c r="P60">
        <v>134</v>
      </c>
      <c r="Q60">
        <v>80</v>
      </c>
      <c r="R60">
        <v>58</v>
      </c>
      <c r="S60">
        <v>175.26</v>
      </c>
      <c r="T60">
        <v>86.19</v>
      </c>
      <c r="U60">
        <v>28.060232549999998</v>
      </c>
      <c r="V60">
        <v>28</v>
      </c>
      <c r="W60">
        <v>16</v>
      </c>
      <c r="X60">
        <v>14</v>
      </c>
      <c r="Y60">
        <v>4.5833333329999997</v>
      </c>
      <c r="Z60">
        <v>5.8333333329999997</v>
      </c>
      <c r="AA60">
        <v>4.9166666670000003</v>
      </c>
      <c r="AB60">
        <v>2.8333333330000001</v>
      </c>
      <c r="AC60">
        <v>0.67</v>
      </c>
      <c r="AD60">
        <v>0.83333333300000001</v>
      </c>
      <c r="AE60">
        <v>12</v>
      </c>
      <c r="AF60">
        <v>10</v>
      </c>
      <c r="AG60">
        <v>45</v>
      </c>
      <c r="AH60">
        <v>6</v>
      </c>
      <c r="AI60">
        <v>1</v>
      </c>
      <c r="AJ60">
        <v>7</v>
      </c>
      <c r="AK60">
        <v>6</v>
      </c>
      <c r="AL60">
        <v>8</v>
      </c>
      <c r="AM60">
        <v>5</v>
      </c>
      <c r="AN60">
        <v>27</v>
      </c>
      <c r="AO60">
        <v>62</v>
      </c>
      <c r="AP60">
        <v>35</v>
      </c>
      <c r="AQ60">
        <v>59</v>
      </c>
      <c r="AR60">
        <v>12.75</v>
      </c>
      <c r="AS60">
        <v>23</v>
      </c>
      <c r="AT60">
        <v>17</v>
      </c>
      <c r="AU60">
        <v>50</v>
      </c>
      <c r="AV60">
        <v>120</v>
      </c>
      <c r="AW60">
        <v>28</v>
      </c>
      <c r="AX60">
        <v>7</v>
      </c>
      <c r="AY60">
        <v>25</v>
      </c>
      <c r="AZ60">
        <v>4</v>
      </c>
      <c r="BA60" s="1" t="s">
        <v>309</v>
      </c>
    </row>
    <row r="61" spans="1:53" x14ac:dyDescent="0.3">
      <c r="A61" s="1" t="s">
        <v>313</v>
      </c>
      <c r="B61" s="1" t="s">
        <v>314</v>
      </c>
      <c r="C61" s="1" t="s">
        <v>315</v>
      </c>
      <c r="D61">
        <v>-11.555137634277299</v>
      </c>
      <c r="E61">
        <v>-12.5162615290674</v>
      </c>
      <c r="F61" t="s">
        <v>316</v>
      </c>
      <c r="G61">
        <v>3378</v>
      </c>
      <c r="H61">
        <v>65.41</v>
      </c>
      <c r="I61" t="s">
        <v>83</v>
      </c>
      <c r="J61" t="s">
        <v>69</v>
      </c>
      <c r="K61" t="s">
        <v>76</v>
      </c>
      <c r="L61">
        <v>1</v>
      </c>
      <c r="M61" t="s">
        <v>61</v>
      </c>
      <c r="P61">
        <v>131</v>
      </c>
      <c r="Q61">
        <v>80</v>
      </c>
      <c r="R61">
        <v>53</v>
      </c>
      <c r="S61">
        <v>165.1</v>
      </c>
      <c r="T61">
        <v>52.16</v>
      </c>
      <c r="U61">
        <v>19.135659570000001</v>
      </c>
      <c r="V61">
        <v>28</v>
      </c>
      <c r="W61">
        <v>13</v>
      </c>
      <c r="X61">
        <v>14</v>
      </c>
      <c r="Y61">
        <v>5.6666666670000003</v>
      </c>
      <c r="Z61">
        <v>4.5833333329999997</v>
      </c>
      <c r="AA61">
        <v>5.8333333329999997</v>
      </c>
      <c r="AB61">
        <v>6.25</v>
      </c>
      <c r="AC61">
        <v>1</v>
      </c>
      <c r="AD61">
        <v>0.83333333300000001</v>
      </c>
      <c r="AE61">
        <v>12</v>
      </c>
      <c r="AF61">
        <v>10</v>
      </c>
      <c r="AG61">
        <v>73</v>
      </c>
      <c r="AH61">
        <v>7</v>
      </c>
      <c r="AI61">
        <v>3</v>
      </c>
      <c r="AJ61">
        <v>9</v>
      </c>
      <c r="AK61">
        <v>7</v>
      </c>
      <c r="AL61">
        <v>5</v>
      </c>
      <c r="AM61">
        <v>4</v>
      </c>
      <c r="AN61">
        <v>24</v>
      </c>
      <c r="AO61">
        <v>37</v>
      </c>
      <c r="AP61">
        <v>13</v>
      </c>
      <c r="AQ61">
        <v>68</v>
      </c>
      <c r="AR61">
        <v>18.75</v>
      </c>
      <c r="AS61">
        <v>32</v>
      </c>
      <c r="AT61">
        <v>17</v>
      </c>
      <c r="AU61">
        <v>74</v>
      </c>
      <c r="AV61">
        <v>74</v>
      </c>
      <c r="AW61">
        <v>33</v>
      </c>
      <c r="AX61">
        <v>3</v>
      </c>
      <c r="AY61">
        <v>30</v>
      </c>
      <c r="AZ61">
        <v>4</v>
      </c>
      <c r="BA61" s="1" t="s">
        <v>313</v>
      </c>
    </row>
    <row r="62" spans="1:53" x14ac:dyDescent="0.3">
      <c r="A62" s="1" t="s">
        <v>317</v>
      </c>
      <c r="B62">
        <v>76</v>
      </c>
      <c r="C62" s="1" t="s">
        <v>318</v>
      </c>
      <c r="D62">
        <v>-1.1117858886718699</v>
      </c>
      <c r="E62">
        <v>-1.2177770320483601</v>
      </c>
      <c r="F62" t="s">
        <v>319</v>
      </c>
      <c r="G62">
        <v>3391</v>
      </c>
      <c r="H62">
        <v>76</v>
      </c>
      <c r="I62" t="s">
        <v>68</v>
      </c>
      <c r="J62" t="s">
        <v>59</v>
      </c>
      <c r="K62" t="s">
        <v>76</v>
      </c>
      <c r="L62">
        <v>1</v>
      </c>
      <c r="M62" t="s">
        <v>61</v>
      </c>
      <c r="O62">
        <v>1</v>
      </c>
      <c r="P62">
        <v>152</v>
      </c>
      <c r="Q62">
        <v>81</v>
      </c>
      <c r="R62">
        <v>51</v>
      </c>
      <c r="S62">
        <v>183</v>
      </c>
      <c r="T62">
        <v>86.2</v>
      </c>
      <c r="U62">
        <v>25.73979516</v>
      </c>
      <c r="V62">
        <v>29</v>
      </c>
      <c r="W62">
        <v>16</v>
      </c>
      <c r="X62">
        <v>17</v>
      </c>
      <c r="Y62">
        <v>3.1666666669999999</v>
      </c>
      <c r="Z62">
        <v>2.0833333330000001</v>
      </c>
      <c r="AA62">
        <v>2.5833333330000001</v>
      </c>
      <c r="AB62">
        <v>4</v>
      </c>
      <c r="AC62">
        <v>1</v>
      </c>
      <c r="AD62">
        <v>0.83333333300000001</v>
      </c>
      <c r="AE62">
        <v>5</v>
      </c>
      <c r="AF62">
        <v>4</v>
      </c>
      <c r="AG62">
        <v>32</v>
      </c>
      <c r="AH62">
        <v>6</v>
      </c>
      <c r="AI62">
        <v>6</v>
      </c>
      <c r="AJ62">
        <v>9</v>
      </c>
      <c r="AK62">
        <v>7</v>
      </c>
      <c r="AL62">
        <v>7</v>
      </c>
      <c r="AM62">
        <v>5</v>
      </c>
      <c r="AN62">
        <v>44</v>
      </c>
      <c r="AO62">
        <v>102</v>
      </c>
      <c r="AP62">
        <v>58</v>
      </c>
      <c r="AQ62">
        <v>57</v>
      </c>
      <c r="AR62">
        <v>12</v>
      </c>
      <c r="AS62">
        <v>22</v>
      </c>
      <c r="AT62">
        <v>17</v>
      </c>
      <c r="AU62">
        <v>117</v>
      </c>
      <c r="AV62">
        <v>253</v>
      </c>
      <c r="AW62">
        <v>13</v>
      </c>
      <c r="AX62">
        <v>1</v>
      </c>
      <c r="AY62">
        <v>14</v>
      </c>
      <c r="AZ62">
        <v>3</v>
      </c>
      <c r="BA62" s="1" t="s">
        <v>317</v>
      </c>
    </row>
    <row r="63" spans="1:53" x14ac:dyDescent="0.3">
      <c r="A63" s="1" t="s">
        <v>320</v>
      </c>
      <c r="B63" s="1" t="s">
        <v>321</v>
      </c>
      <c r="C63" s="1" t="s">
        <v>322</v>
      </c>
      <c r="D63" s="1" t="s">
        <v>323</v>
      </c>
      <c r="E63" s="1" t="s">
        <v>324</v>
      </c>
      <c r="F63" t="s">
        <v>325</v>
      </c>
      <c r="G63">
        <v>3847</v>
      </c>
      <c r="H63">
        <v>20.21</v>
      </c>
      <c r="I63" t="s">
        <v>68</v>
      </c>
      <c r="J63" t="s">
        <v>59</v>
      </c>
      <c r="K63" t="s">
        <v>60</v>
      </c>
      <c r="L63">
        <v>0</v>
      </c>
      <c r="M63" t="s">
        <v>61</v>
      </c>
      <c r="N63" t="s">
        <v>326</v>
      </c>
      <c r="O63">
        <v>7</v>
      </c>
      <c r="P63">
        <v>119</v>
      </c>
      <c r="Q63">
        <v>70</v>
      </c>
      <c r="R63">
        <v>63</v>
      </c>
      <c r="S63">
        <v>182.88</v>
      </c>
      <c r="T63">
        <v>79.378699999999995</v>
      </c>
      <c r="U63">
        <v>23.73403377</v>
      </c>
      <c r="V63">
        <v>29</v>
      </c>
      <c r="W63">
        <v>16</v>
      </c>
      <c r="X63">
        <v>13</v>
      </c>
      <c r="Y63">
        <v>4.6666666670000003</v>
      </c>
      <c r="Z63">
        <v>5.5833333329999997</v>
      </c>
      <c r="AA63">
        <v>5.25</v>
      </c>
      <c r="AB63">
        <v>4.25</v>
      </c>
      <c r="AC63">
        <v>0.67</v>
      </c>
      <c r="AD63">
        <v>0.83333333300000001</v>
      </c>
      <c r="AE63">
        <v>12</v>
      </c>
      <c r="AF63">
        <v>11</v>
      </c>
      <c r="AG63">
        <v>43</v>
      </c>
      <c r="AH63">
        <v>8</v>
      </c>
      <c r="AI63">
        <v>2</v>
      </c>
      <c r="AJ63">
        <v>14</v>
      </c>
      <c r="AK63">
        <v>9</v>
      </c>
      <c r="AL63">
        <v>11</v>
      </c>
      <c r="AM63">
        <v>7</v>
      </c>
      <c r="AN63">
        <v>14</v>
      </c>
      <c r="AO63">
        <v>45</v>
      </c>
      <c r="AP63">
        <v>31</v>
      </c>
      <c r="AQ63">
        <v>83</v>
      </c>
      <c r="AR63">
        <v>14.75</v>
      </c>
      <c r="AS63">
        <v>28</v>
      </c>
      <c r="AT63">
        <v>17</v>
      </c>
      <c r="AU63">
        <v>17</v>
      </c>
      <c r="AV63">
        <v>63</v>
      </c>
      <c r="AW63">
        <v>29</v>
      </c>
      <c r="AX63">
        <v>2</v>
      </c>
      <c r="AY63">
        <v>26</v>
      </c>
      <c r="AZ63">
        <v>3</v>
      </c>
      <c r="BA63" s="1" t="s">
        <v>320</v>
      </c>
    </row>
    <row r="64" spans="1:53" x14ac:dyDescent="0.3">
      <c r="A64" s="1" t="s">
        <v>327</v>
      </c>
      <c r="B64" s="1" t="s">
        <v>328</v>
      </c>
      <c r="C64" s="1" t="s">
        <v>329</v>
      </c>
      <c r="D64">
        <v>-6.2248077392578098</v>
      </c>
      <c r="E64">
        <v>-8.3592163737028695</v>
      </c>
      <c r="F64" t="s">
        <v>330</v>
      </c>
      <c r="G64">
        <v>3889</v>
      </c>
      <c r="H64">
        <v>50.88</v>
      </c>
      <c r="I64" t="s">
        <v>58</v>
      </c>
      <c r="J64" t="s">
        <v>69</v>
      </c>
      <c r="K64" t="s">
        <v>76</v>
      </c>
      <c r="L64">
        <v>1</v>
      </c>
      <c r="M64" t="s">
        <v>61</v>
      </c>
      <c r="N64" t="s">
        <v>331</v>
      </c>
      <c r="O64">
        <v>8</v>
      </c>
      <c r="P64">
        <v>111</v>
      </c>
      <c r="Q64">
        <v>73</v>
      </c>
      <c r="R64">
        <v>80</v>
      </c>
      <c r="S64">
        <v>167.64</v>
      </c>
      <c r="T64">
        <v>53.523899999999998</v>
      </c>
      <c r="U64">
        <v>19.045502970000001</v>
      </c>
      <c r="V64">
        <v>26</v>
      </c>
      <c r="W64">
        <v>16</v>
      </c>
      <c r="X64">
        <v>17</v>
      </c>
      <c r="Y64">
        <v>6.4166666670000003</v>
      </c>
      <c r="Z64">
        <v>5.9166666670000003</v>
      </c>
      <c r="AA64">
        <v>5.4166666670000003</v>
      </c>
      <c r="AB64">
        <v>4.3333333329999997</v>
      </c>
      <c r="AC64">
        <v>1</v>
      </c>
      <c r="AD64">
        <v>0.83333333300000001</v>
      </c>
      <c r="AE64">
        <v>10</v>
      </c>
      <c r="AF64">
        <v>8</v>
      </c>
      <c r="AG64">
        <v>48</v>
      </c>
      <c r="AH64">
        <v>5</v>
      </c>
      <c r="AI64">
        <v>3</v>
      </c>
      <c r="AJ64">
        <v>13</v>
      </c>
      <c r="AK64">
        <v>9</v>
      </c>
      <c r="AL64">
        <v>11</v>
      </c>
      <c r="AM64">
        <v>7</v>
      </c>
      <c r="AN64">
        <v>33</v>
      </c>
      <c r="AO64">
        <v>50</v>
      </c>
      <c r="AP64">
        <v>17</v>
      </c>
      <c r="AQ64">
        <v>57</v>
      </c>
      <c r="AR64">
        <v>14.5</v>
      </c>
      <c r="AS64">
        <v>25</v>
      </c>
      <c r="AT64">
        <v>17</v>
      </c>
      <c r="AU64">
        <v>97</v>
      </c>
      <c r="AV64">
        <v>104</v>
      </c>
      <c r="AW64">
        <v>15</v>
      </c>
      <c r="AX64">
        <v>0</v>
      </c>
      <c r="AY64">
        <v>11</v>
      </c>
      <c r="AZ64">
        <v>1</v>
      </c>
      <c r="BA64" s="1" t="s">
        <v>327</v>
      </c>
    </row>
    <row r="65" spans="1:53" x14ac:dyDescent="0.3">
      <c r="A65" s="1" t="s">
        <v>332</v>
      </c>
      <c r="B65">
        <v>81.650001525878906</v>
      </c>
      <c r="C65" s="1" t="s">
        <v>333</v>
      </c>
      <c r="D65" s="1" t="s">
        <v>334</v>
      </c>
      <c r="E65" s="1" t="s">
        <v>335</v>
      </c>
      <c r="F65" t="s">
        <v>336</v>
      </c>
      <c r="G65">
        <v>3890</v>
      </c>
      <c r="H65">
        <v>81.650000000000006</v>
      </c>
      <c r="I65" t="s">
        <v>93</v>
      </c>
      <c r="J65" t="s">
        <v>69</v>
      </c>
      <c r="K65" t="s">
        <v>156</v>
      </c>
      <c r="L65">
        <v>2</v>
      </c>
      <c r="M65" t="s">
        <v>61</v>
      </c>
      <c r="N65" t="s">
        <v>331</v>
      </c>
      <c r="O65">
        <v>8</v>
      </c>
      <c r="P65">
        <v>134</v>
      </c>
      <c r="Q65">
        <v>82</v>
      </c>
      <c r="R65">
        <v>61</v>
      </c>
      <c r="S65">
        <v>157.47999999999999</v>
      </c>
      <c r="T65">
        <v>57.606200000000001</v>
      </c>
      <c r="U65">
        <v>23.228352910000002</v>
      </c>
      <c r="V65">
        <v>20</v>
      </c>
      <c r="W65">
        <v>16</v>
      </c>
      <c r="X65">
        <v>10</v>
      </c>
      <c r="Y65">
        <v>5.25</v>
      </c>
      <c r="Z65">
        <v>6.1666666670000003</v>
      </c>
      <c r="AA65">
        <v>5.25</v>
      </c>
      <c r="AB65">
        <v>2.9166666669999999</v>
      </c>
      <c r="AC65">
        <v>1</v>
      </c>
      <c r="AD65">
        <v>0.66666666699999999</v>
      </c>
      <c r="AE65">
        <v>5</v>
      </c>
      <c r="AF65">
        <v>6</v>
      </c>
      <c r="AG65">
        <v>30</v>
      </c>
      <c r="AH65">
        <v>6</v>
      </c>
      <c r="AI65">
        <v>3</v>
      </c>
      <c r="AJ65">
        <v>10</v>
      </c>
      <c r="AK65">
        <v>7</v>
      </c>
      <c r="AL65">
        <v>7</v>
      </c>
      <c r="AM65">
        <v>5</v>
      </c>
      <c r="AN65">
        <v>39</v>
      </c>
      <c r="AO65">
        <v>93</v>
      </c>
      <c r="AP65">
        <v>54</v>
      </c>
      <c r="AQ65">
        <v>31</v>
      </c>
      <c r="AR65">
        <v>12</v>
      </c>
      <c r="AS65">
        <v>21</v>
      </c>
      <c r="AT65">
        <v>17</v>
      </c>
      <c r="AU65">
        <v>150</v>
      </c>
      <c r="AV65">
        <v>237</v>
      </c>
      <c r="AW65">
        <v>13</v>
      </c>
      <c r="AX65">
        <v>1</v>
      </c>
      <c r="AY65">
        <v>12</v>
      </c>
      <c r="AZ65">
        <v>3</v>
      </c>
      <c r="BA65" s="1" t="s">
        <v>332</v>
      </c>
    </row>
    <row r="66" spans="1:53" x14ac:dyDescent="0.3">
      <c r="A66" s="1" t="s">
        <v>337</v>
      </c>
      <c r="B66" s="1" t="s">
        <v>338</v>
      </c>
      <c r="C66" s="1" t="s">
        <v>339</v>
      </c>
      <c r="D66" s="1" t="s">
        <v>340</v>
      </c>
      <c r="E66" s="1" t="s">
        <v>341</v>
      </c>
      <c r="F66" t="s">
        <v>342</v>
      </c>
      <c r="G66">
        <v>3896</v>
      </c>
      <c r="H66">
        <v>78.13</v>
      </c>
      <c r="I66" t="s">
        <v>83</v>
      </c>
      <c r="J66" t="s">
        <v>69</v>
      </c>
      <c r="K66" t="s">
        <v>76</v>
      </c>
      <c r="L66">
        <v>1</v>
      </c>
      <c r="M66" t="s">
        <v>61</v>
      </c>
      <c r="P66">
        <v>123</v>
      </c>
      <c r="Q66">
        <v>82</v>
      </c>
      <c r="R66">
        <v>83</v>
      </c>
      <c r="S66">
        <v>165.1</v>
      </c>
      <c r="T66">
        <v>70.31</v>
      </c>
      <c r="U66">
        <v>25.79425277</v>
      </c>
      <c r="V66">
        <v>25</v>
      </c>
      <c r="W66">
        <v>16</v>
      </c>
      <c r="X66">
        <v>4</v>
      </c>
      <c r="Y66">
        <v>3.6666666669999999</v>
      </c>
      <c r="Z66">
        <v>3.75</v>
      </c>
      <c r="AA66">
        <v>2.9166666669999999</v>
      </c>
      <c r="AB66">
        <v>1</v>
      </c>
      <c r="AC66">
        <v>0</v>
      </c>
      <c r="AD66">
        <v>0.5</v>
      </c>
      <c r="AE66">
        <v>5</v>
      </c>
      <c r="AF66">
        <v>4</v>
      </c>
      <c r="AG66">
        <v>36</v>
      </c>
      <c r="AH66">
        <v>3</v>
      </c>
      <c r="AI66">
        <v>4</v>
      </c>
      <c r="AJ66">
        <v>10</v>
      </c>
      <c r="AK66">
        <v>8</v>
      </c>
      <c r="AL66">
        <v>6</v>
      </c>
      <c r="AM66">
        <v>4</v>
      </c>
      <c r="AN66">
        <v>19</v>
      </c>
      <c r="AO66">
        <v>52</v>
      </c>
      <c r="AP66">
        <v>33</v>
      </c>
      <c r="AQ66">
        <v>56</v>
      </c>
      <c r="AR66">
        <v>21</v>
      </c>
      <c r="AS66">
        <v>43</v>
      </c>
      <c r="AT66">
        <v>17</v>
      </c>
      <c r="AU66">
        <v>97</v>
      </c>
      <c r="AV66">
        <v>223</v>
      </c>
      <c r="AW66">
        <v>13</v>
      </c>
      <c r="AX66">
        <v>2</v>
      </c>
      <c r="AY66">
        <v>9</v>
      </c>
      <c r="AZ66">
        <v>1</v>
      </c>
      <c r="BA66" s="1" t="s">
        <v>337</v>
      </c>
    </row>
    <row r="67" spans="1:53" x14ac:dyDescent="0.3">
      <c r="A67" s="1" t="s">
        <v>343</v>
      </c>
      <c r="B67" s="1" t="s">
        <v>344</v>
      </c>
      <c r="C67" s="1" t="s">
        <v>345</v>
      </c>
      <c r="D67">
        <v>0.852264404296875</v>
      </c>
      <c r="E67">
        <v>-4.6936841152795897E-3</v>
      </c>
      <c r="F67" t="s">
        <v>346</v>
      </c>
      <c r="G67">
        <v>775</v>
      </c>
      <c r="H67">
        <v>66.7</v>
      </c>
      <c r="I67" t="s">
        <v>93</v>
      </c>
      <c r="J67" t="s">
        <v>69</v>
      </c>
      <c r="K67" t="s">
        <v>60</v>
      </c>
      <c r="L67">
        <v>0</v>
      </c>
      <c r="M67" t="s">
        <v>61</v>
      </c>
      <c r="P67">
        <v>120</v>
      </c>
      <c r="Q67">
        <v>80</v>
      </c>
      <c r="R67">
        <v>80</v>
      </c>
      <c r="S67">
        <v>162.56</v>
      </c>
      <c r="T67">
        <v>77.099999999999994</v>
      </c>
      <c r="U67">
        <v>29.176083739999999</v>
      </c>
      <c r="V67">
        <v>26</v>
      </c>
      <c r="W67">
        <v>16</v>
      </c>
      <c r="X67">
        <v>13</v>
      </c>
      <c r="Y67">
        <v>5.5</v>
      </c>
      <c r="Z67">
        <v>6.5</v>
      </c>
      <c r="AA67">
        <v>5.5</v>
      </c>
      <c r="AB67">
        <v>5.6363636359999996</v>
      </c>
      <c r="AC67">
        <v>1</v>
      </c>
      <c r="AD67">
        <v>0.83333333300000001</v>
      </c>
      <c r="AE67">
        <v>6</v>
      </c>
      <c r="AF67">
        <v>8</v>
      </c>
      <c r="AG67">
        <v>41</v>
      </c>
      <c r="AH67">
        <v>4</v>
      </c>
      <c r="AI67">
        <v>3</v>
      </c>
      <c r="AJ67">
        <v>10</v>
      </c>
      <c r="AK67">
        <v>8</v>
      </c>
      <c r="AL67">
        <v>2</v>
      </c>
      <c r="AM67">
        <v>2</v>
      </c>
      <c r="AN67">
        <v>63</v>
      </c>
      <c r="AO67">
        <v>115</v>
      </c>
      <c r="AP67">
        <v>52</v>
      </c>
      <c r="AQ67">
        <v>39</v>
      </c>
      <c r="AR67">
        <v>13</v>
      </c>
      <c r="AS67">
        <v>21</v>
      </c>
      <c r="AT67">
        <v>17</v>
      </c>
      <c r="AU67">
        <v>83</v>
      </c>
      <c r="AV67">
        <v>230</v>
      </c>
      <c r="AW67">
        <v>10</v>
      </c>
      <c r="AX67">
        <v>2</v>
      </c>
      <c r="AY67">
        <v>6</v>
      </c>
      <c r="AZ67">
        <v>3</v>
      </c>
      <c r="BA67" s="1" t="s">
        <v>343</v>
      </c>
    </row>
    <row r="68" spans="1:53" x14ac:dyDescent="0.3">
      <c r="A68" s="1" t="s">
        <v>347</v>
      </c>
      <c r="B68">
        <v>63</v>
      </c>
      <c r="C68" s="1" t="s">
        <v>348</v>
      </c>
      <c r="D68" s="1" t="s">
        <v>349</v>
      </c>
      <c r="E68" s="1" t="s">
        <v>350</v>
      </c>
      <c r="F68" t="s">
        <v>351</v>
      </c>
      <c r="G68">
        <v>4493</v>
      </c>
      <c r="H68">
        <v>63</v>
      </c>
      <c r="I68" t="s">
        <v>58</v>
      </c>
      <c r="J68" t="s">
        <v>69</v>
      </c>
      <c r="K68" t="s">
        <v>60</v>
      </c>
      <c r="L68">
        <v>0</v>
      </c>
      <c r="M68" t="s">
        <v>61</v>
      </c>
      <c r="P68">
        <v>150</v>
      </c>
      <c r="Q68">
        <v>88</v>
      </c>
      <c r="R68">
        <v>63</v>
      </c>
      <c r="S68">
        <v>155</v>
      </c>
      <c r="T68">
        <v>65.77</v>
      </c>
      <c r="U68" s="1" t="s">
        <v>352</v>
      </c>
      <c r="V68">
        <v>28</v>
      </c>
      <c r="W68">
        <v>16</v>
      </c>
      <c r="X68">
        <v>15</v>
      </c>
      <c r="Y68">
        <v>5.75</v>
      </c>
      <c r="Z68" s="1" t="s">
        <v>353</v>
      </c>
      <c r="AA68" s="1" t="s">
        <v>354</v>
      </c>
      <c r="AB68" s="1" t="s">
        <v>355</v>
      </c>
      <c r="AC68">
        <v>1</v>
      </c>
      <c r="AD68" s="1" t="s">
        <v>356</v>
      </c>
      <c r="AE68">
        <v>10</v>
      </c>
      <c r="AF68">
        <v>8</v>
      </c>
      <c r="AG68">
        <v>42</v>
      </c>
      <c r="AH68">
        <v>8</v>
      </c>
      <c r="AI68">
        <v>3</v>
      </c>
      <c r="AJ68">
        <v>8</v>
      </c>
      <c r="AK68">
        <v>6</v>
      </c>
      <c r="AL68">
        <v>7</v>
      </c>
      <c r="AM68">
        <v>6</v>
      </c>
      <c r="AN68">
        <v>20</v>
      </c>
      <c r="AO68">
        <v>47</v>
      </c>
      <c r="AP68">
        <v>27</v>
      </c>
      <c r="AQ68">
        <v>68</v>
      </c>
      <c r="AR68">
        <v>14.75</v>
      </c>
      <c r="AS68">
        <v>12.5</v>
      </c>
      <c r="AT68">
        <v>17</v>
      </c>
      <c r="AU68">
        <v>70</v>
      </c>
      <c r="AV68">
        <v>193</v>
      </c>
      <c r="AW68">
        <v>12</v>
      </c>
      <c r="AX68">
        <v>1</v>
      </c>
      <c r="AY68">
        <v>13</v>
      </c>
      <c r="AZ68">
        <v>2</v>
      </c>
      <c r="BA68" s="1" t="s">
        <v>347</v>
      </c>
    </row>
    <row r="69" spans="1:53" x14ac:dyDescent="0.3">
      <c r="A69" s="1" t="s">
        <v>357</v>
      </c>
      <c r="B69" s="1" t="s">
        <v>358</v>
      </c>
      <c r="C69" s="1" t="s">
        <v>359</v>
      </c>
      <c r="D69">
        <v>0.397613525390625</v>
      </c>
      <c r="E69">
        <v>-1.371809106745</v>
      </c>
      <c r="F69" t="s">
        <v>360</v>
      </c>
      <c r="G69">
        <v>1412</v>
      </c>
      <c r="H69">
        <v>55.4</v>
      </c>
      <c r="I69" t="s">
        <v>58</v>
      </c>
      <c r="J69" t="s">
        <v>69</v>
      </c>
      <c r="K69" t="s">
        <v>76</v>
      </c>
      <c r="L69">
        <v>1</v>
      </c>
      <c r="M69" t="s">
        <v>61</v>
      </c>
      <c r="P69">
        <v>153</v>
      </c>
      <c r="Q69">
        <v>93</v>
      </c>
      <c r="R69">
        <v>60</v>
      </c>
      <c r="S69">
        <v>165</v>
      </c>
      <c r="T69">
        <v>78</v>
      </c>
      <c r="U69" s="1" t="s">
        <v>361</v>
      </c>
      <c r="V69">
        <v>26</v>
      </c>
      <c r="W69">
        <v>16</v>
      </c>
      <c r="X69">
        <v>10</v>
      </c>
      <c r="Y69" s="1" t="s">
        <v>362</v>
      </c>
      <c r="Z69" s="1" t="s">
        <v>363</v>
      </c>
      <c r="AA69">
        <v>4.5</v>
      </c>
      <c r="AB69">
        <v>4</v>
      </c>
      <c r="AC69">
        <v>1</v>
      </c>
      <c r="AD69">
        <v>1</v>
      </c>
      <c r="AE69">
        <v>10</v>
      </c>
      <c r="AF69">
        <v>11</v>
      </c>
      <c r="AG69">
        <v>46</v>
      </c>
      <c r="AH69">
        <v>3</v>
      </c>
      <c r="AI69">
        <v>0</v>
      </c>
      <c r="AJ69">
        <v>10</v>
      </c>
      <c r="AK69">
        <v>8</v>
      </c>
      <c r="AL69">
        <v>9</v>
      </c>
      <c r="AM69">
        <v>6</v>
      </c>
      <c r="AN69">
        <v>26</v>
      </c>
      <c r="AO69">
        <v>70</v>
      </c>
      <c r="AP69">
        <v>44</v>
      </c>
      <c r="AQ69">
        <v>52</v>
      </c>
      <c r="AR69">
        <v>18.75</v>
      </c>
      <c r="AS69">
        <v>18.5</v>
      </c>
      <c r="AT69">
        <v>17</v>
      </c>
      <c r="AU69">
        <v>97</v>
      </c>
      <c r="AV69">
        <v>140</v>
      </c>
      <c r="AW69">
        <v>8</v>
      </c>
      <c r="AX69">
        <v>2</v>
      </c>
      <c r="AY69">
        <v>5</v>
      </c>
      <c r="AZ69">
        <v>2</v>
      </c>
      <c r="BA69" s="1" t="s">
        <v>357</v>
      </c>
    </row>
    <row r="70" spans="1:53" x14ac:dyDescent="0.3">
      <c r="A70" s="1" t="s">
        <v>364</v>
      </c>
      <c r="B70" s="1" t="s">
        <v>365</v>
      </c>
      <c r="C70" s="1" t="s">
        <v>366</v>
      </c>
      <c r="D70" s="1" t="s">
        <v>367</v>
      </c>
      <c r="E70" s="1" t="s">
        <v>368</v>
      </c>
      <c r="F70" t="s">
        <v>369</v>
      </c>
      <c r="G70">
        <v>4526</v>
      </c>
      <c r="H70">
        <v>44.78</v>
      </c>
      <c r="I70" t="s">
        <v>58</v>
      </c>
      <c r="J70" t="s">
        <v>69</v>
      </c>
      <c r="K70" t="s">
        <v>76</v>
      </c>
      <c r="L70">
        <v>1</v>
      </c>
      <c r="M70" t="s">
        <v>61</v>
      </c>
      <c r="P70">
        <v>118</v>
      </c>
      <c r="Q70">
        <v>80</v>
      </c>
      <c r="R70">
        <v>73</v>
      </c>
      <c r="S70">
        <v>168</v>
      </c>
      <c r="T70">
        <v>56.24</v>
      </c>
      <c r="U70" s="1" t="s">
        <v>370</v>
      </c>
      <c r="V70">
        <v>29</v>
      </c>
      <c r="W70">
        <v>16</v>
      </c>
      <c r="X70">
        <v>17</v>
      </c>
      <c r="Y70">
        <v>6.25</v>
      </c>
      <c r="Z70">
        <v>5</v>
      </c>
      <c r="AA70" s="1" t="s">
        <v>371</v>
      </c>
      <c r="AB70" s="1" t="s">
        <v>372</v>
      </c>
      <c r="AC70">
        <v>1</v>
      </c>
      <c r="AD70">
        <v>1</v>
      </c>
      <c r="AE70">
        <v>8</v>
      </c>
      <c r="AF70">
        <v>10</v>
      </c>
      <c r="AG70">
        <v>56</v>
      </c>
      <c r="AH70">
        <v>5</v>
      </c>
      <c r="AI70">
        <v>3</v>
      </c>
      <c r="AJ70">
        <v>12</v>
      </c>
      <c r="AK70">
        <v>8</v>
      </c>
      <c r="AL70">
        <v>9</v>
      </c>
      <c r="AM70">
        <v>6</v>
      </c>
      <c r="AN70">
        <v>33</v>
      </c>
      <c r="AO70">
        <v>93</v>
      </c>
      <c r="AP70">
        <v>60</v>
      </c>
      <c r="AQ70">
        <v>67</v>
      </c>
      <c r="AR70">
        <v>12.75</v>
      </c>
      <c r="AS70">
        <v>10</v>
      </c>
      <c r="AT70">
        <v>17</v>
      </c>
      <c r="AU70">
        <v>67</v>
      </c>
      <c r="AV70">
        <v>177</v>
      </c>
      <c r="AW70">
        <v>27</v>
      </c>
      <c r="AX70">
        <v>2</v>
      </c>
      <c r="AY70">
        <v>15</v>
      </c>
      <c r="AZ70">
        <v>2</v>
      </c>
      <c r="BA70" s="1" t="s">
        <v>364</v>
      </c>
    </row>
    <row r="71" spans="1:53" x14ac:dyDescent="0.3">
      <c r="A71" s="1" t="s">
        <v>373</v>
      </c>
      <c r="B71" s="1" t="s">
        <v>374</v>
      </c>
      <c r="C71" s="1" t="s">
        <v>375</v>
      </c>
      <c r="D71">
        <v>-9.4061622619628906</v>
      </c>
      <c r="E71">
        <v>-10.7508447248285</v>
      </c>
      <c r="F71" t="s">
        <v>376</v>
      </c>
      <c r="G71">
        <v>1470</v>
      </c>
      <c r="H71">
        <v>60.66</v>
      </c>
      <c r="I71" t="s">
        <v>58</v>
      </c>
      <c r="J71" t="s">
        <v>69</v>
      </c>
      <c r="K71" t="s">
        <v>76</v>
      </c>
      <c r="L71">
        <v>1</v>
      </c>
      <c r="M71" t="s">
        <v>377</v>
      </c>
      <c r="P71">
        <v>145</v>
      </c>
      <c r="Q71">
        <v>90</v>
      </c>
      <c r="R71">
        <v>65</v>
      </c>
      <c r="S71">
        <v>157</v>
      </c>
      <c r="T71">
        <v>55.8</v>
      </c>
      <c r="U71">
        <v>22.637835206296401</v>
      </c>
      <c r="V71">
        <v>28</v>
      </c>
      <c r="W71">
        <v>16</v>
      </c>
      <c r="X71">
        <v>9</v>
      </c>
      <c r="Y71" s="1" t="s">
        <v>362</v>
      </c>
      <c r="Z71" s="1" t="s">
        <v>378</v>
      </c>
      <c r="AA71" s="1" t="s">
        <v>379</v>
      </c>
      <c r="AB71" s="1" t="s">
        <v>380</v>
      </c>
      <c r="AC71">
        <v>1</v>
      </c>
      <c r="AD71">
        <v>1</v>
      </c>
      <c r="AE71">
        <v>13</v>
      </c>
      <c r="AF71">
        <v>13</v>
      </c>
      <c r="AG71">
        <v>57</v>
      </c>
      <c r="AH71">
        <v>3</v>
      </c>
      <c r="AI71">
        <v>0</v>
      </c>
      <c r="AJ71">
        <v>12</v>
      </c>
      <c r="AK71">
        <v>9</v>
      </c>
      <c r="AL71">
        <v>7</v>
      </c>
      <c r="AM71">
        <v>5</v>
      </c>
      <c r="AN71">
        <v>46</v>
      </c>
      <c r="AO71">
        <v>91</v>
      </c>
      <c r="AP71">
        <v>45</v>
      </c>
      <c r="AQ71">
        <v>49</v>
      </c>
      <c r="AR71">
        <v>14.75</v>
      </c>
      <c r="AS71">
        <v>13</v>
      </c>
      <c r="AT71">
        <v>17</v>
      </c>
      <c r="AU71">
        <v>120</v>
      </c>
      <c r="AV71">
        <v>120</v>
      </c>
      <c r="AW71">
        <v>21</v>
      </c>
      <c r="AX71">
        <v>1</v>
      </c>
      <c r="AY71">
        <v>14</v>
      </c>
      <c r="AZ71">
        <v>2</v>
      </c>
      <c r="BA71" s="1" t="s">
        <v>373</v>
      </c>
    </row>
    <row r="72" spans="1:53" x14ac:dyDescent="0.3">
      <c r="A72" s="1" t="s">
        <v>381</v>
      </c>
      <c r="B72" s="1" t="s">
        <v>382</v>
      </c>
      <c r="C72" s="1" t="s">
        <v>383</v>
      </c>
      <c r="D72" s="1" t="s">
        <v>384</v>
      </c>
      <c r="E72">
        <v>-2.1063370945266802</v>
      </c>
      <c r="F72" t="s">
        <v>385</v>
      </c>
      <c r="G72">
        <v>1619</v>
      </c>
      <c r="H72" s="4">
        <v>36.927777777777699</v>
      </c>
      <c r="I72" t="s">
        <v>68</v>
      </c>
      <c r="J72" t="s">
        <v>69</v>
      </c>
      <c r="K72" t="s">
        <v>76</v>
      </c>
      <c r="L72">
        <v>1</v>
      </c>
      <c r="M72" t="s">
        <v>61</v>
      </c>
      <c r="N72" t="s">
        <v>386</v>
      </c>
      <c r="O72">
        <v>9</v>
      </c>
      <c r="P72">
        <v>113</v>
      </c>
      <c r="Q72">
        <v>86</v>
      </c>
      <c r="R72">
        <v>75</v>
      </c>
      <c r="S72">
        <v>165</v>
      </c>
      <c r="T72">
        <v>52.16</v>
      </c>
      <c r="U72" s="1" t="s">
        <v>387</v>
      </c>
      <c r="V72">
        <v>24</v>
      </c>
      <c r="W72">
        <v>16</v>
      </c>
      <c r="X72">
        <v>10</v>
      </c>
      <c r="Y72" s="1" t="s">
        <v>388</v>
      </c>
      <c r="Z72" s="1" t="s">
        <v>389</v>
      </c>
      <c r="AA72">
        <v>4.5</v>
      </c>
      <c r="AB72">
        <v>4.5</v>
      </c>
      <c r="AC72">
        <v>1</v>
      </c>
      <c r="AD72" s="1" t="s">
        <v>356</v>
      </c>
      <c r="AE72">
        <v>8</v>
      </c>
      <c r="AF72">
        <v>7</v>
      </c>
      <c r="AG72">
        <v>43</v>
      </c>
      <c r="AH72">
        <v>6</v>
      </c>
      <c r="AI72">
        <v>4</v>
      </c>
      <c r="AJ72">
        <v>12</v>
      </c>
      <c r="AK72">
        <v>9</v>
      </c>
      <c r="AL72">
        <v>5</v>
      </c>
      <c r="AM72">
        <v>4</v>
      </c>
      <c r="AN72">
        <v>19</v>
      </c>
      <c r="AO72">
        <v>85</v>
      </c>
      <c r="AP72">
        <v>66</v>
      </c>
      <c r="AQ72">
        <v>52</v>
      </c>
      <c r="AR72">
        <v>19.75</v>
      </c>
      <c r="AS72">
        <v>21</v>
      </c>
      <c r="AT72">
        <v>17</v>
      </c>
      <c r="AU72">
        <v>87</v>
      </c>
      <c r="AV72">
        <v>283</v>
      </c>
      <c r="AW72">
        <v>12</v>
      </c>
      <c r="AX72">
        <v>0</v>
      </c>
      <c r="AY72">
        <v>7</v>
      </c>
      <c r="AZ72">
        <v>0</v>
      </c>
      <c r="BA72" s="1" t="s">
        <v>381</v>
      </c>
    </row>
    <row r="73" spans="1:53" x14ac:dyDescent="0.3">
      <c r="B73">
        <f>MIN(B2:B72)</f>
        <v>21</v>
      </c>
      <c r="H73">
        <f>MIN(H2:H72)</f>
        <v>20.21</v>
      </c>
      <c r="I73">
        <f>COUNTIF(I2:I72, "APOE44")</f>
        <v>8</v>
      </c>
      <c r="J73">
        <f>COUNTIF(J2:J72, "M")</f>
        <v>30</v>
      </c>
      <c r="K73">
        <f>COUNTIF(K2:K72, "NoRisk")</f>
        <v>18</v>
      </c>
    </row>
    <row r="74" spans="1:53" x14ac:dyDescent="0.3">
      <c r="B74">
        <f>MAX(B2:B72)</f>
        <v>82</v>
      </c>
      <c r="H74">
        <f>MAX(H2:H72)</f>
        <v>82</v>
      </c>
      <c r="I74">
        <f>COUNTIFS(I2:I72, "APOE34", K2:K72, "Familial") + COUNTIFS(I2:I72, "APOE44", K2:K72, "Familial")</f>
        <v>29</v>
      </c>
    </row>
    <row r="75" spans="1:53" x14ac:dyDescent="0.3">
      <c r="B75" s="2">
        <f>MEDIAN(B2:B72)</f>
        <v>50</v>
      </c>
      <c r="H75" s="3">
        <f>MEDIAN(H2:H72)</f>
        <v>51</v>
      </c>
    </row>
    <row r="76" spans="1:53" x14ac:dyDescent="0.3">
      <c r="H76">
        <f>AVERAGE(H2:H72)</f>
        <v>52.633489827856032</v>
      </c>
    </row>
    <row r="77" spans="1:53" x14ac:dyDescent="0.3">
      <c r="H77">
        <f>AVEDEV(H2:H72)</f>
        <v>13.032530582556371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B53D-F9C0-40F9-9582-DB0989D316CB}">
  <dimension ref="A1:B75"/>
  <sheetViews>
    <sheetView tabSelected="1" workbookViewId="0">
      <selection activeCell="A76" sqref="A76"/>
    </sheetView>
  </sheetViews>
  <sheetFormatPr defaultRowHeight="14.4" x14ac:dyDescent="0.3"/>
  <cols>
    <col min="1" max="1" width="12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21</v>
      </c>
      <c r="B2" t="s">
        <v>58</v>
      </c>
    </row>
    <row r="3" spans="1:2" x14ac:dyDescent="0.3">
      <c r="A3">
        <v>20.21</v>
      </c>
      <c r="B3" t="s">
        <v>68</v>
      </c>
    </row>
    <row r="4" spans="1:2" x14ac:dyDescent="0.3">
      <c r="A4">
        <v>31</v>
      </c>
      <c r="B4" t="s">
        <v>58</v>
      </c>
    </row>
    <row r="5" spans="1:2" x14ac:dyDescent="0.3">
      <c r="A5">
        <v>25</v>
      </c>
      <c r="B5" t="s">
        <v>68</v>
      </c>
    </row>
    <row r="6" spans="1:2" x14ac:dyDescent="0.3">
      <c r="A6">
        <v>31</v>
      </c>
      <c r="B6" t="s">
        <v>83</v>
      </c>
    </row>
    <row r="7" spans="1:2" x14ac:dyDescent="0.3">
      <c r="A7">
        <v>31</v>
      </c>
      <c r="B7" t="s">
        <v>58</v>
      </c>
    </row>
    <row r="8" spans="1:2" x14ac:dyDescent="0.3">
      <c r="A8">
        <v>36</v>
      </c>
      <c r="B8" t="s">
        <v>93</v>
      </c>
    </row>
    <row r="9" spans="1:2" x14ac:dyDescent="0.3">
      <c r="A9">
        <v>37</v>
      </c>
      <c r="B9" t="s">
        <v>58</v>
      </c>
    </row>
    <row r="10" spans="1:2" x14ac:dyDescent="0.3">
      <c r="A10">
        <v>32</v>
      </c>
      <c r="B10" t="s">
        <v>68</v>
      </c>
    </row>
    <row r="11" spans="1:2" x14ac:dyDescent="0.3">
      <c r="A11">
        <v>38</v>
      </c>
      <c r="B11" t="s">
        <v>58</v>
      </c>
    </row>
    <row r="12" spans="1:2" x14ac:dyDescent="0.3">
      <c r="A12">
        <v>34</v>
      </c>
      <c r="B12" t="s">
        <v>68</v>
      </c>
    </row>
    <row r="13" spans="1:2" x14ac:dyDescent="0.3">
      <c r="A13">
        <v>35</v>
      </c>
      <c r="B13" t="s">
        <v>68</v>
      </c>
    </row>
    <row r="14" spans="1:2" x14ac:dyDescent="0.3">
      <c r="A14">
        <v>40</v>
      </c>
      <c r="B14" t="s">
        <v>58</v>
      </c>
    </row>
    <row r="15" spans="1:2" x14ac:dyDescent="0.3">
      <c r="A15">
        <v>40</v>
      </c>
      <c r="B15" t="s">
        <v>58</v>
      </c>
    </row>
    <row r="16" spans="1:2" x14ac:dyDescent="0.3">
      <c r="A16">
        <v>41</v>
      </c>
      <c r="B16" t="s">
        <v>58</v>
      </c>
    </row>
    <row r="17" spans="1:2" x14ac:dyDescent="0.3">
      <c r="A17">
        <v>36</v>
      </c>
      <c r="B17" t="s">
        <v>68</v>
      </c>
    </row>
    <row r="18" spans="1:2" x14ac:dyDescent="0.3">
      <c r="A18">
        <v>41</v>
      </c>
      <c r="B18" t="s">
        <v>58</v>
      </c>
    </row>
    <row r="19" spans="1:2" x14ac:dyDescent="0.3">
      <c r="A19">
        <v>42.62</v>
      </c>
      <c r="B19" t="s">
        <v>58</v>
      </c>
    </row>
    <row r="20" spans="1:2" x14ac:dyDescent="0.3">
      <c r="A20">
        <v>44.78</v>
      </c>
      <c r="B20" t="s">
        <v>58</v>
      </c>
    </row>
    <row r="21" spans="1:2" x14ac:dyDescent="0.3">
      <c r="A21" s="4">
        <v>36.927777777777699</v>
      </c>
      <c r="B21" t="s">
        <v>68</v>
      </c>
    </row>
    <row r="22" spans="1:2" x14ac:dyDescent="0.3">
      <c r="A22">
        <v>38</v>
      </c>
      <c r="B22" t="s">
        <v>68</v>
      </c>
    </row>
    <row r="23" spans="1:2" x14ac:dyDescent="0.3">
      <c r="A23">
        <v>42</v>
      </c>
      <c r="B23" t="s">
        <v>83</v>
      </c>
    </row>
    <row r="24" spans="1:2" x14ac:dyDescent="0.3">
      <c r="A24">
        <v>42</v>
      </c>
      <c r="B24" t="s">
        <v>68</v>
      </c>
    </row>
    <row r="25" spans="1:2" x14ac:dyDescent="0.3">
      <c r="A25">
        <v>42</v>
      </c>
      <c r="B25" t="s">
        <v>83</v>
      </c>
    </row>
    <row r="26" spans="1:2" x14ac:dyDescent="0.3">
      <c r="A26">
        <v>44</v>
      </c>
      <c r="B26" t="s">
        <v>68</v>
      </c>
    </row>
    <row r="27" spans="1:2" x14ac:dyDescent="0.3">
      <c r="A27">
        <v>47</v>
      </c>
      <c r="B27" t="s">
        <v>93</v>
      </c>
    </row>
    <row r="28" spans="1:2" x14ac:dyDescent="0.3">
      <c r="A28">
        <v>44</v>
      </c>
      <c r="B28" t="s">
        <v>68</v>
      </c>
    </row>
    <row r="29" spans="1:2" x14ac:dyDescent="0.3">
      <c r="A29">
        <v>50</v>
      </c>
      <c r="B29" t="s">
        <v>58</v>
      </c>
    </row>
    <row r="30" spans="1:2" x14ac:dyDescent="0.3">
      <c r="A30">
        <v>50</v>
      </c>
      <c r="B30" t="s">
        <v>58</v>
      </c>
    </row>
    <row r="31" spans="1:2" x14ac:dyDescent="0.3">
      <c r="A31">
        <v>50.88</v>
      </c>
      <c r="B31" t="s">
        <v>58</v>
      </c>
    </row>
    <row r="32" spans="1:2" x14ac:dyDescent="0.3">
      <c r="A32">
        <v>45</v>
      </c>
      <c r="B32" t="s">
        <v>68</v>
      </c>
    </row>
    <row r="33" spans="1:2" x14ac:dyDescent="0.3">
      <c r="A33">
        <v>45</v>
      </c>
      <c r="B33" t="s">
        <v>68</v>
      </c>
    </row>
    <row r="34" spans="1:2" x14ac:dyDescent="0.3">
      <c r="A34">
        <v>48</v>
      </c>
      <c r="B34" t="s">
        <v>68</v>
      </c>
    </row>
    <row r="35" spans="1:2" x14ac:dyDescent="0.3">
      <c r="A35">
        <v>51</v>
      </c>
      <c r="B35" t="s">
        <v>58</v>
      </c>
    </row>
    <row r="36" spans="1:2" x14ac:dyDescent="0.3">
      <c r="A36">
        <v>50</v>
      </c>
      <c r="B36" t="s">
        <v>68</v>
      </c>
    </row>
    <row r="37" spans="1:2" x14ac:dyDescent="0.3">
      <c r="A37">
        <v>52</v>
      </c>
      <c r="B37" t="s">
        <v>58</v>
      </c>
    </row>
    <row r="38" spans="1:2" x14ac:dyDescent="0.3">
      <c r="A38">
        <v>51</v>
      </c>
      <c r="B38" t="s">
        <v>68</v>
      </c>
    </row>
    <row r="39" spans="1:2" x14ac:dyDescent="0.3">
      <c r="A39">
        <v>54</v>
      </c>
      <c r="B39" t="s">
        <v>68</v>
      </c>
    </row>
    <row r="40" spans="1:2" x14ac:dyDescent="0.3">
      <c r="A40">
        <v>56</v>
      </c>
      <c r="B40" t="s">
        <v>68</v>
      </c>
    </row>
    <row r="41" spans="1:2" x14ac:dyDescent="0.3">
      <c r="A41">
        <v>52</v>
      </c>
      <c r="B41" t="s">
        <v>58</v>
      </c>
    </row>
    <row r="42" spans="1:2" x14ac:dyDescent="0.3">
      <c r="A42">
        <v>53</v>
      </c>
      <c r="B42" t="s">
        <v>58</v>
      </c>
    </row>
    <row r="43" spans="1:2" x14ac:dyDescent="0.3">
      <c r="A43">
        <v>55.4</v>
      </c>
      <c r="B43" t="s">
        <v>58</v>
      </c>
    </row>
    <row r="44" spans="1:2" x14ac:dyDescent="0.3">
      <c r="A44">
        <v>57</v>
      </c>
      <c r="B44" t="s">
        <v>68</v>
      </c>
    </row>
    <row r="45" spans="1:2" x14ac:dyDescent="0.3">
      <c r="A45">
        <v>57</v>
      </c>
      <c r="B45" t="s">
        <v>58</v>
      </c>
    </row>
    <row r="46" spans="1:2" x14ac:dyDescent="0.3">
      <c r="A46">
        <v>60.66</v>
      </c>
      <c r="B46" t="s">
        <v>58</v>
      </c>
    </row>
    <row r="47" spans="1:2" x14ac:dyDescent="0.3">
      <c r="A47">
        <v>61</v>
      </c>
      <c r="B47" t="s">
        <v>58</v>
      </c>
    </row>
    <row r="48" spans="1:2" x14ac:dyDescent="0.3">
      <c r="A48">
        <v>63</v>
      </c>
      <c r="B48" t="s">
        <v>58</v>
      </c>
    </row>
    <row r="49" spans="1:2" x14ac:dyDescent="0.3">
      <c r="A49">
        <v>64</v>
      </c>
      <c r="B49" t="s">
        <v>58</v>
      </c>
    </row>
    <row r="50" spans="1:2" x14ac:dyDescent="0.3">
      <c r="A50">
        <v>58</v>
      </c>
      <c r="B50" t="s">
        <v>68</v>
      </c>
    </row>
    <row r="51" spans="1:2" x14ac:dyDescent="0.3">
      <c r="A51">
        <v>64.45</v>
      </c>
      <c r="B51" t="s">
        <v>58</v>
      </c>
    </row>
    <row r="52" spans="1:2" x14ac:dyDescent="0.3">
      <c r="A52">
        <v>66.7</v>
      </c>
      <c r="B52" t="s">
        <v>93</v>
      </c>
    </row>
    <row r="53" spans="1:2" x14ac:dyDescent="0.3">
      <c r="A53">
        <v>65</v>
      </c>
      <c r="B53" t="s">
        <v>68</v>
      </c>
    </row>
    <row r="54" spans="1:2" x14ac:dyDescent="0.3">
      <c r="A54">
        <v>68</v>
      </c>
      <c r="B54" t="s">
        <v>93</v>
      </c>
    </row>
    <row r="55" spans="1:2" x14ac:dyDescent="0.3">
      <c r="A55">
        <v>65.41</v>
      </c>
      <c r="B55" t="s">
        <v>83</v>
      </c>
    </row>
    <row r="56" spans="1:2" x14ac:dyDescent="0.3">
      <c r="A56">
        <v>67</v>
      </c>
      <c r="B56" t="s">
        <v>83</v>
      </c>
    </row>
    <row r="57" spans="1:2" x14ac:dyDescent="0.3">
      <c r="A57">
        <v>67.040000000000006</v>
      </c>
      <c r="B57" t="s">
        <v>68</v>
      </c>
    </row>
    <row r="58" spans="1:2" x14ac:dyDescent="0.3">
      <c r="A58">
        <v>68</v>
      </c>
      <c r="B58" t="s">
        <v>58</v>
      </c>
    </row>
    <row r="59" spans="1:2" x14ac:dyDescent="0.3">
      <c r="A59">
        <v>67.86</v>
      </c>
      <c r="B59" t="s">
        <v>83</v>
      </c>
    </row>
    <row r="60" spans="1:2" x14ac:dyDescent="0.3">
      <c r="A60">
        <v>69</v>
      </c>
      <c r="B60" t="s">
        <v>58</v>
      </c>
    </row>
    <row r="61" spans="1:2" x14ac:dyDescent="0.3">
      <c r="A61">
        <v>69</v>
      </c>
      <c r="B61" t="s">
        <v>83</v>
      </c>
    </row>
    <row r="62" spans="1:2" x14ac:dyDescent="0.3">
      <c r="A62">
        <v>71.260000000000005</v>
      </c>
      <c r="B62" t="s">
        <v>68</v>
      </c>
    </row>
    <row r="63" spans="1:2" x14ac:dyDescent="0.3">
      <c r="A63">
        <v>72</v>
      </c>
      <c r="B63" t="s">
        <v>68</v>
      </c>
    </row>
    <row r="64" spans="1:2" x14ac:dyDescent="0.3">
      <c r="A64">
        <v>70</v>
      </c>
      <c r="B64" t="s">
        <v>58</v>
      </c>
    </row>
    <row r="65" spans="1:2" x14ac:dyDescent="0.3">
      <c r="A65">
        <v>70</v>
      </c>
      <c r="B65" t="s">
        <v>93</v>
      </c>
    </row>
    <row r="66" spans="1:2" x14ac:dyDescent="0.3">
      <c r="A66">
        <v>76</v>
      </c>
      <c r="B66" t="s">
        <v>83</v>
      </c>
    </row>
    <row r="67" spans="1:2" x14ac:dyDescent="0.3">
      <c r="A67">
        <v>72</v>
      </c>
      <c r="B67" t="s">
        <v>93</v>
      </c>
    </row>
    <row r="68" spans="1:2" x14ac:dyDescent="0.3">
      <c r="A68">
        <v>74</v>
      </c>
      <c r="B68" t="s">
        <v>58</v>
      </c>
    </row>
    <row r="69" spans="1:2" x14ac:dyDescent="0.3">
      <c r="A69">
        <v>76</v>
      </c>
      <c r="B69" t="s">
        <v>58</v>
      </c>
    </row>
    <row r="70" spans="1:2" x14ac:dyDescent="0.3">
      <c r="A70">
        <v>81.650000000000006</v>
      </c>
      <c r="B70" t="s">
        <v>58</v>
      </c>
    </row>
    <row r="71" spans="1:2" x14ac:dyDescent="0.3">
      <c r="A71">
        <v>82</v>
      </c>
      <c r="B71" t="s">
        <v>58</v>
      </c>
    </row>
    <row r="72" spans="1:2" x14ac:dyDescent="0.3">
      <c r="A72">
        <v>78.13</v>
      </c>
      <c r="B72" t="s">
        <v>68</v>
      </c>
    </row>
    <row r="74" spans="1:2" x14ac:dyDescent="0.3">
      <c r="A74" cm="1">
        <f t="array" ref="A74">AVERAGE(IF((B2:B72="APOE34")+(B2:B72="APOE44"), A2:A72))</f>
        <v>50.449629629629626</v>
      </c>
    </row>
    <row r="75" spans="1:2" x14ac:dyDescent="0.3">
      <c r="A75" cm="1">
        <f t="array" ref="A75">AVEDEV(IF((B2:B72="APOE34")+(B2:B72="APOE44"), A2:A72))</f>
        <v>13.209427609427614</v>
      </c>
    </row>
  </sheetData>
  <autoFilter ref="B1:B72" xr:uid="{CC49B53D-F9C0-40F9-9582-DB0989D316CB}"/>
  <sortState xmlns:xlrd2="http://schemas.microsoft.com/office/spreadsheetml/2017/richdata2" ref="A2:A73">
    <sortCondition ref="A1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column_model_predictions_all_su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 lin</dc:creator>
  <cp:lastModifiedBy>Hanwen Lin</cp:lastModifiedBy>
  <dcterms:modified xsi:type="dcterms:W3CDTF">2025-07-16T16:31:09Z</dcterms:modified>
</cp:coreProperties>
</file>